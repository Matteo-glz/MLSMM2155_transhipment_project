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tteogalizia/Documents/GitHub/MLSMM2155_transhipment_project/phase1/result/"/>
    </mc:Choice>
  </mc:AlternateContent>
  <xr:revisionPtr revIDLastSave="0" documentId="13_ncr:1_{F6CBFF03-5059-B44A-B219-0009B0B526A3}" xr6:coauthVersionLast="47" xr6:coauthVersionMax="47" xr10:uidLastSave="{00000000-0000-0000-0000-000000000000}"/>
  <bookViews>
    <workbookView xWindow="-22040" yWindow="600" windowWidth="22040" windowHeight="14240" activeTab="1" xr2:uid="{00000000-000D-0000-FFFF-FFFF00000000}"/>
  </bookViews>
  <sheets>
    <sheet name="Summary" sheetId="1" r:id="rId1"/>
    <sheet name="A Fertilizers" sheetId="2" r:id="rId2"/>
    <sheet name="B Semiconductors" sheetId="3" r:id="rId3"/>
    <sheet name="C BatteryComponents" sheetId="4" r:id="rId4"/>
    <sheet name="Warehouses" sheetId="5" r:id="rId5"/>
    <sheet name="Arc Activa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" l="1"/>
  <c r="Q7" i="4"/>
  <c r="Q8" i="3"/>
  <c r="Q9" i="3" s="1"/>
  <c r="Q7" i="3"/>
  <c r="O2" i="3"/>
  <c r="O8" i="4"/>
  <c r="O7" i="4"/>
  <c r="O8" i="3"/>
  <c r="O7" i="3"/>
  <c r="R9" i="2"/>
  <c r="R8" i="2"/>
  <c r="R7" i="2"/>
  <c r="Q9" i="2"/>
  <c r="Q8" i="2"/>
  <c r="Q7" i="2"/>
  <c r="P9" i="2"/>
  <c r="P8" i="2"/>
  <c r="P7" i="2"/>
  <c r="O9" i="2"/>
  <c r="O8" i="2"/>
  <c r="O7" i="2"/>
  <c r="O2" i="4"/>
  <c r="O2" i="2"/>
  <c r="Q9" i="4" l="1"/>
  <c r="R7" i="4" s="1"/>
  <c r="O9" i="4"/>
  <c r="P9" i="4" s="1"/>
  <c r="O9" i="3"/>
  <c r="R7" i="3"/>
  <c r="R8" i="4" l="1"/>
  <c r="R9" i="4" s="1"/>
  <c r="P7" i="4"/>
  <c r="P8" i="4"/>
  <c r="P9" i="3"/>
  <c r="P8" i="3"/>
  <c r="R8" i="3"/>
  <c r="R9" i="3" s="1"/>
  <c r="P7" i="3"/>
</calcChain>
</file>

<file path=xl/sharedStrings.xml><?xml version="1.0" encoding="utf-8"?>
<sst xmlns="http://schemas.openxmlformats.org/spreadsheetml/2006/main" count="1053" uniqueCount="231">
  <si>
    <t>Metric</t>
  </si>
  <si>
    <t>Value</t>
  </si>
  <si>
    <t>Scenario</t>
  </si>
  <si>
    <t>ArcCosts_Baseline</t>
  </si>
  <si>
    <t>Solve Time (s)</t>
  </si>
  <si>
    <t>Total Cost ($)</t>
  </si>
  <si>
    <t xml:space="preserve">  Warehouse Opening Cost ($)</t>
  </si>
  <si>
    <t xml:space="preserve">  Arc Activation Cost ($)</t>
  </si>
  <si>
    <t xml:space="preserve">  Variable Transport Cost ($)</t>
  </si>
  <si>
    <t>Warehouses Open</t>
  </si>
  <si>
    <t>Warehouses Total</t>
  </si>
  <si>
    <t>Optional Arcs Activated</t>
  </si>
  <si>
    <t>Optional Arcs Total</t>
  </si>
  <si>
    <t>Demand Met — A_Fertilizers</t>
  </si>
  <si>
    <t>2082 / 2082</t>
  </si>
  <si>
    <t>Demand Met — B_Semiconductors</t>
  </si>
  <si>
    <t>2222 / 2222</t>
  </si>
  <si>
    <t>Demand Met — C_BatteryComponents</t>
  </si>
  <si>
    <t>1893 / 1893</t>
  </si>
  <si>
    <t>arc_id</t>
  </si>
  <si>
    <t>source</t>
  </si>
  <si>
    <t>target</t>
  </si>
  <si>
    <t>product</t>
  </si>
  <si>
    <t>flow</t>
  </si>
  <si>
    <t>capacity</t>
  </si>
  <si>
    <t>utilization_%</t>
  </si>
  <si>
    <t>var_cost</t>
  </si>
  <si>
    <t>total_cost</t>
  </si>
  <si>
    <t>flow_cost</t>
  </si>
  <si>
    <t>transport_mode</t>
  </si>
  <si>
    <t>distance_km</t>
  </si>
  <si>
    <t>A001</t>
  </si>
  <si>
    <t>S1</t>
  </si>
  <si>
    <t>H1</t>
  </si>
  <si>
    <t>A_Fertilizers</t>
  </si>
  <si>
    <t>sea</t>
  </si>
  <si>
    <t>A002</t>
  </si>
  <si>
    <t>H2</t>
  </si>
  <si>
    <t>A003</t>
  </si>
  <si>
    <t>S2</t>
  </si>
  <si>
    <t>A004</t>
  </si>
  <si>
    <t>S3</t>
  </si>
  <si>
    <t>H5</t>
  </si>
  <si>
    <t>A005</t>
  </si>
  <si>
    <t>H4</t>
  </si>
  <si>
    <t>A032</t>
  </si>
  <si>
    <t>W1</t>
  </si>
  <si>
    <t>A034</t>
  </si>
  <si>
    <t>W2</t>
  </si>
  <si>
    <t>A036</t>
  </si>
  <si>
    <t>W3</t>
  </si>
  <si>
    <t>A042</t>
  </si>
  <si>
    <t>W6</t>
  </si>
  <si>
    <t>A052</t>
  </si>
  <si>
    <t>W11</t>
  </si>
  <si>
    <t>A054</t>
  </si>
  <si>
    <t>W12</t>
  </si>
  <si>
    <t>A068</t>
  </si>
  <si>
    <t>W4</t>
  </si>
  <si>
    <t>A090</t>
  </si>
  <si>
    <t>W15</t>
  </si>
  <si>
    <t>A140</t>
  </si>
  <si>
    <t>W10</t>
  </si>
  <si>
    <t>A142</t>
  </si>
  <si>
    <t>A146</t>
  </si>
  <si>
    <t>W13</t>
  </si>
  <si>
    <t>A178</t>
  </si>
  <si>
    <t>W14</t>
  </si>
  <si>
    <t>A202</t>
  </si>
  <si>
    <t>W7</t>
  </si>
  <si>
    <t>A204</t>
  </si>
  <si>
    <t>W8</t>
  </si>
  <si>
    <t>A225</t>
  </si>
  <si>
    <t>C1</t>
  </si>
  <si>
    <t>road</t>
  </si>
  <si>
    <t>A229</t>
  </si>
  <si>
    <t>C2</t>
  </si>
  <si>
    <t>A234</t>
  </si>
  <si>
    <t>C3</t>
  </si>
  <si>
    <t>A235</t>
  </si>
  <si>
    <t>C4</t>
  </si>
  <si>
    <t>A239</t>
  </si>
  <si>
    <t>C5</t>
  </si>
  <si>
    <t>A242</t>
  </si>
  <si>
    <t>C6</t>
  </si>
  <si>
    <t>A246</t>
  </si>
  <si>
    <t>C7</t>
  </si>
  <si>
    <t>A249</t>
  </si>
  <si>
    <t>C8</t>
  </si>
  <si>
    <t>A250</t>
  </si>
  <si>
    <t>C9</t>
  </si>
  <si>
    <t>A253</t>
  </si>
  <si>
    <t>C10</t>
  </si>
  <si>
    <t>A255</t>
  </si>
  <si>
    <t>C11</t>
  </si>
  <si>
    <t>A258</t>
  </si>
  <si>
    <t>C12</t>
  </si>
  <si>
    <t>A261</t>
  </si>
  <si>
    <t>C13</t>
  </si>
  <si>
    <t>A264</t>
  </si>
  <si>
    <t>C14</t>
  </si>
  <si>
    <t>A269</t>
  </si>
  <si>
    <t>C15</t>
  </si>
  <si>
    <t>A274</t>
  </si>
  <si>
    <t>C16</t>
  </si>
  <si>
    <t>A276</t>
  </si>
  <si>
    <t>C17</t>
  </si>
  <si>
    <t>A278</t>
  </si>
  <si>
    <t>C18</t>
  </si>
  <si>
    <t>A280</t>
  </si>
  <si>
    <t>C19</t>
  </si>
  <si>
    <t>A283</t>
  </si>
  <si>
    <t>C20</t>
  </si>
  <si>
    <t>A286</t>
  </si>
  <si>
    <t>C21</t>
  </si>
  <si>
    <t>A288</t>
  </si>
  <si>
    <t>C22</t>
  </si>
  <si>
    <t>A291</t>
  </si>
  <si>
    <t>C23</t>
  </si>
  <si>
    <t>A294</t>
  </si>
  <si>
    <t>C24</t>
  </si>
  <si>
    <t>A298</t>
  </si>
  <si>
    <t>C25</t>
  </si>
  <si>
    <t>A305</t>
  </si>
  <si>
    <t>C26</t>
  </si>
  <si>
    <t>A307</t>
  </si>
  <si>
    <t>C27</t>
  </si>
  <si>
    <t>A309</t>
  </si>
  <si>
    <t>C28</t>
  </si>
  <si>
    <t>A312</t>
  </si>
  <si>
    <t>C29</t>
  </si>
  <si>
    <t>A316</t>
  </si>
  <si>
    <t>C30</t>
  </si>
  <si>
    <t>A006</t>
  </si>
  <si>
    <t>S4</t>
  </si>
  <si>
    <t>H3</t>
  </si>
  <si>
    <t>B_Semiconductors</t>
  </si>
  <si>
    <t>A007</t>
  </si>
  <si>
    <t>S5</t>
  </si>
  <si>
    <t>A008</t>
  </si>
  <si>
    <t>S6</t>
  </si>
  <si>
    <t>A013</t>
  </si>
  <si>
    <t>A058</t>
  </si>
  <si>
    <t>A064</t>
  </si>
  <si>
    <t>A066</t>
  </si>
  <si>
    <t>A069</t>
  </si>
  <si>
    <t>A091</t>
  </si>
  <si>
    <t>A098</t>
  </si>
  <si>
    <t>A100</t>
  </si>
  <si>
    <t>W5</t>
  </si>
  <si>
    <t>A102</t>
  </si>
  <si>
    <t>A104</t>
  </si>
  <si>
    <t>A106</t>
  </si>
  <si>
    <t>A120</t>
  </si>
  <si>
    <t>A133</t>
  </si>
  <si>
    <t>A231</t>
  </si>
  <si>
    <t>A247</t>
  </si>
  <si>
    <t>A252</t>
  </si>
  <si>
    <t>A256</t>
  </si>
  <si>
    <t>A267</t>
  </si>
  <si>
    <t>A300</t>
  </si>
  <si>
    <t>A303</t>
  </si>
  <si>
    <t>A308</t>
  </si>
  <si>
    <t>A315</t>
  </si>
  <si>
    <t>A009</t>
  </si>
  <si>
    <t>S7</t>
  </si>
  <si>
    <t>C_BatteryComponents</t>
  </si>
  <si>
    <t>A010</t>
  </si>
  <si>
    <t>S8</t>
  </si>
  <si>
    <t>A011</t>
  </si>
  <si>
    <t>S9</t>
  </si>
  <si>
    <t>A062</t>
  </si>
  <si>
    <t>A170</t>
  </si>
  <si>
    <t>A172</t>
  </si>
  <si>
    <t>A174</t>
  </si>
  <si>
    <t>A176</t>
  </si>
  <si>
    <t>A194</t>
  </si>
  <si>
    <t>A232</t>
  </si>
  <si>
    <t>A244</t>
  </si>
  <si>
    <t>A285</t>
  </si>
  <si>
    <t>warehouse_id</t>
  </si>
  <si>
    <t>open</t>
  </si>
  <si>
    <t>opening_cost</t>
  </si>
  <si>
    <t>total_inflow</t>
  </si>
  <si>
    <t>W9</t>
  </si>
  <si>
    <t>activated</t>
  </si>
  <si>
    <t>total_flow</t>
  </si>
  <si>
    <t>fixed_cost</t>
  </si>
  <si>
    <t>A184</t>
  </si>
  <si>
    <t>A185</t>
  </si>
  <si>
    <t>A187</t>
  </si>
  <si>
    <t>A188</t>
  </si>
  <si>
    <t>A190</t>
  </si>
  <si>
    <t>A192</t>
  </si>
  <si>
    <t>A199</t>
  </si>
  <si>
    <t>A203</t>
  </si>
  <si>
    <t>A205</t>
  </si>
  <si>
    <t>A207</t>
  </si>
  <si>
    <t>A209</t>
  </si>
  <si>
    <t>A210</t>
  </si>
  <si>
    <t>A213</t>
  </si>
  <si>
    <t>A214</t>
  </si>
  <si>
    <t>A215</t>
  </si>
  <si>
    <t>A217</t>
  </si>
  <si>
    <t>A223</t>
  </si>
  <si>
    <t>A224</t>
  </si>
  <si>
    <t>A226</t>
  </si>
  <si>
    <t>A230</t>
  </si>
  <si>
    <t>A240</t>
  </si>
  <si>
    <t>A241</t>
  </si>
  <si>
    <t>A251</t>
  </si>
  <si>
    <t>A265</t>
  </si>
  <si>
    <t>A277</t>
  </si>
  <si>
    <t>A279</t>
  </si>
  <si>
    <t>A282</t>
  </si>
  <si>
    <t>A292</t>
  </si>
  <si>
    <t>A296</t>
  </si>
  <si>
    <t>A301</t>
  </si>
  <si>
    <t>A302</t>
  </si>
  <si>
    <t>A304</t>
  </si>
  <si>
    <t>A311</t>
  </si>
  <si>
    <t>A313</t>
  </si>
  <si>
    <t>A314</t>
  </si>
  <si>
    <t>A317</t>
  </si>
  <si>
    <t>total cost</t>
  </si>
  <si>
    <t>total socts</t>
  </si>
  <si>
    <t>total</t>
  </si>
  <si>
    <t>number</t>
  </si>
  <si>
    <t>frequency</t>
  </si>
  <si>
    <t>cost</t>
  </si>
  <si>
    <t xml:space="preserve">cost distribution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</si>
</sst>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0" fontId="0" fillId="0" borderId="0" xfId="1" applyNumberFormat="1" applyFon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opLeftCell="A14" zoomScale="200" workbookViewId="0">
      <selection activeCell="B4" sqref="B4"/>
    </sheetView>
  </sheetViews>
  <sheetFormatPr baseColWidth="10" defaultColWidth="8.83203125" defaultRowHeight="15" x14ac:dyDescent="0.2"/>
  <cols>
    <col min="1" max="1" width="30.83203125" bestFit="1" customWidth="1"/>
    <col min="2" max="2" width="14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2.5999999999999999E-2</v>
      </c>
    </row>
    <row r="4" spans="1:2" x14ac:dyDescent="0.2">
      <c r="A4" t="s">
        <v>5</v>
      </c>
      <c r="B4">
        <v>4454800.57</v>
      </c>
    </row>
    <row r="5" spans="1:2" x14ac:dyDescent="0.2">
      <c r="A5" t="s">
        <v>6</v>
      </c>
      <c r="B5">
        <v>22046.49</v>
      </c>
    </row>
    <row r="6" spans="1:2" x14ac:dyDescent="0.2">
      <c r="A6" t="s">
        <v>7</v>
      </c>
      <c r="B6">
        <v>19638.46</v>
      </c>
    </row>
    <row r="7" spans="1:2" x14ac:dyDescent="0.2">
      <c r="A7" t="s">
        <v>8</v>
      </c>
      <c r="B7">
        <v>4413115.62</v>
      </c>
    </row>
    <row r="9" spans="1:2" x14ac:dyDescent="0.2">
      <c r="A9" t="s">
        <v>9</v>
      </c>
      <c r="B9">
        <v>14</v>
      </c>
    </row>
    <row r="10" spans="1:2" x14ac:dyDescent="0.2">
      <c r="A10" t="s">
        <v>10</v>
      </c>
      <c r="B10">
        <v>15</v>
      </c>
    </row>
    <row r="11" spans="1:2" x14ac:dyDescent="0.2">
      <c r="A11" t="s">
        <v>11</v>
      </c>
      <c r="B11">
        <v>11</v>
      </c>
    </row>
    <row r="12" spans="1:2" x14ac:dyDescent="0.2">
      <c r="A12" t="s">
        <v>12</v>
      </c>
      <c r="B12">
        <v>47</v>
      </c>
    </row>
    <row r="14" spans="1:2" x14ac:dyDescent="0.2">
      <c r="A14" t="s">
        <v>13</v>
      </c>
      <c r="B14" t="s">
        <v>14</v>
      </c>
    </row>
    <row r="15" spans="1:2" x14ac:dyDescent="0.2">
      <c r="A15" t="s">
        <v>15</v>
      </c>
      <c r="B15" t="s">
        <v>16</v>
      </c>
    </row>
    <row r="16" spans="1:2" x14ac:dyDescent="0.2">
      <c r="A16" t="s">
        <v>17</v>
      </c>
      <c r="B1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5" max="15" width="13.83203125" customWidth="1"/>
    <col min="17" max="17" width="12.1640625" bestFit="1" customWidth="1"/>
  </cols>
  <sheetData>
    <row r="1" spans="1:18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8" x14ac:dyDescent="0.2">
      <c r="A2" t="s">
        <v>31</v>
      </c>
      <c r="B2" t="s">
        <v>32</v>
      </c>
      <c r="C2" t="s">
        <v>33</v>
      </c>
      <c r="D2" t="s">
        <v>34</v>
      </c>
      <c r="E2">
        <v>356</v>
      </c>
      <c r="F2">
        <v>437</v>
      </c>
      <c r="G2">
        <v>81.5</v>
      </c>
      <c r="H2">
        <v>50.05</v>
      </c>
      <c r="I2">
        <v>50.05</v>
      </c>
      <c r="J2">
        <v>17817.8</v>
      </c>
      <c r="K2" t="s">
        <v>35</v>
      </c>
      <c r="L2">
        <v>1355.2</v>
      </c>
      <c r="N2" t="s">
        <v>224</v>
      </c>
      <c r="O2" s="3">
        <f>SUM(J2:J50)</f>
        <v>638198.24</v>
      </c>
    </row>
    <row r="3" spans="1:18" x14ac:dyDescent="0.2">
      <c r="A3" t="s">
        <v>36</v>
      </c>
      <c r="B3" t="s">
        <v>32</v>
      </c>
      <c r="C3" t="s">
        <v>37</v>
      </c>
      <c r="D3" t="s">
        <v>34</v>
      </c>
      <c r="E3">
        <v>338</v>
      </c>
      <c r="F3">
        <v>414</v>
      </c>
      <c r="G3">
        <v>81.599999999999994</v>
      </c>
      <c r="H3">
        <v>137.05000000000001</v>
      </c>
      <c r="I3">
        <v>137.05000000000001</v>
      </c>
      <c r="J3">
        <v>46322.9</v>
      </c>
      <c r="K3" t="s">
        <v>35</v>
      </c>
      <c r="L3">
        <v>3926.2</v>
      </c>
    </row>
    <row r="4" spans="1:18" x14ac:dyDescent="0.2">
      <c r="A4" t="s">
        <v>38</v>
      </c>
      <c r="B4" t="s">
        <v>39</v>
      </c>
      <c r="C4" t="s">
        <v>33</v>
      </c>
      <c r="D4" t="s">
        <v>34</v>
      </c>
      <c r="E4">
        <v>694</v>
      </c>
      <c r="F4">
        <v>903</v>
      </c>
      <c r="G4">
        <v>76.900000000000006</v>
      </c>
      <c r="H4">
        <v>80.38</v>
      </c>
      <c r="I4">
        <v>80.38</v>
      </c>
      <c r="J4">
        <v>55783.72</v>
      </c>
      <c r="K4" t="s">
        <v>35</v>
      </c>
      <c r="L4">
        <v>2269.5</v>
      </c>
    </row>
    <row r="5" spans="1:18" x14ac:dyDescent="0.2">
      <c r="A5" t="s">
        <v>40</v>
      </c>
      <c r="B5" t="s">
        <v>41</v>
      </c>
      <c r="C5" t="s">
        <v>42</v>
      </c>
      <c r="D5" t="s">
        <v>34</v>
      </c>
      <c r="E5">
        <v>537</v>
      </c>
      <c r="F5">
        <v>808</v>
      </c>
      <c r="G5">
        <v>66.5</v>
      </c>
      <c r="H5">
        <v>155.72999999999999</v>
      </c>
      <c r="I5">
        <v>155.72999999999999</v>
      </c>
      <c r="J5">
        <v>83627.009999999995</v>
      </c>
      <c r="K5" t="s">
        <v>35</v>
      </c>
      <c r="L5">
        <v>4133.3</v>
      </c>
    </row>
    <row r="6" spans="1:18" x14ac:dyDescent="0.2">
      <c r="A6" t="s">
        <v>43</v>
      </c>
      <c r="B6" t="s">
        <v>41</v>
      </c>
      <c r="C6" t="s">
        <v>44</v>
      </c>
      <c r="D6" t="s">
        <v>34</v>
      </c>
      <c r="E6">
        <v>157</v>
      </c>
      <c r="F6">
        <v>496</v>
      </c>
      <c r="G6">
        <v>31.7</v>
      </c>
      <c r="H6">
        <v>152.19999999999999</v>
      </c>
      <c r="I6">
        <v>152.19999999999999</v>
      </c>
      <c r="J6">
        <v>23895.4</v>
      </c>
      <c r="K6" t="s">
        <v>35</v>
      </c>
      <c r="L6">
        <v>4303.3</v>
      </c>
      <c r="O6" t="s">
        <v>227</v>
      </c>
      <c r="P6" t="s">
        <v>228</v>
      </c>
      <c r="Q6" t="s">
        <v>229</v>
      </c>
      <c r="R6" t="s">
        <v>230</v>
      </c>
    </row>
    <row r="7" spans="1:18" x14ac:dyDescent="0.2">
      <c r="A7" t="s">
        <v>45</v>
      </c>
      <c r="B7" t="s">
        <v>33</v>
      </c>
      <c r="C7" t="s">
        <v>46</v>
      </c>
      <c r="D7" t="s">
        <v>34</v>
      </c>
      <c r="E7">
        <v>351</v>
      </c>
      <c r="F7">
        <v>686</v>
      </c>
      <c r="G7">
        <v>51.2</v>
      </c>
      <c r="H7">
        <v>13.35</v>
      </c>
      <c r="I7">
        <v>13.35</v>
      </c>
      <c r="J7">
        <v>4685.8500000000004</v>
      </c>
      <c r="K7" t="s">
        <v>35</v>
      </c>
      <c r="L7">
        <v>356</v>
      </c>
      <c r="N7" t="s">
        <v>35</v>
      </c>
      <c r="O7">
        <f>COUNTIF(K2:K50,N7)</f>
        <v>26</v>
      </c>
      <c r="P7" s="2">
        <f>O7/$O$9</f>
        <v>0.53061224489795922</v>
      </c>
      <c r="Q7">
        <f>SUMIF($K$2:$K$50,N7,$J$2:$J$50)</f>
        <v>511113.96999999986</v>
      </c>
      <c r="R7" s="2">
        <f>Q7/Q9</f>
        <v>0.80087022803447394</v>
      </c>
    </row>
    <row r="8" spans="1:18" x14ac:dyDescent="0.2">
      <c r="A8" t="s">
        <v>47</v>
      </c>
      <c r="B8" t="s">
        <v>33</v>
      </c>
      <c r="C8" t="s">
        <v>48</v>
      </c>
      <c r="D8" t="s">
        <v>34</v>
      </c>
      <c r="E8">
        <v>147</v>
      </c>
      <c r="F8">
        <v>755</v>
      </c>
      <c r="G8">
        <v>19.5</v>
      </c>
      <c r="H8">
        <v>50.5</v>
      </c>
      <c r="I8">
        <v>50.5</v>
      </c>
      <c r="J8">
        <v>7423.5</v>
      </c>
      <c r="K8" t="s">
        <v>35</v>
      </c>
      <c r="L8">
        <v>1445.3</v>
      </c>
      <c r="N8" t="s">
        <v>74</v>
      </c>
      <c r="O8">
        <f>COUNTIF(K2:K50,N8)</f>
        <v>23</v>
      </c>
      <c r="P8" s="2">
        <f>O8/$O$9</f>
        <v>0.46938775510204084</v>
      </c>
      <c r="Q8">
        <f>SUMIF($K$2:$K$50,N8,$J$2:$J$50)</f>
        <v>127084.26999999999</v>
      </c>
      <c r="R8" s="2">
        <f>Q8/Q9</f>
        <v>0.19912977196552598</v>
      </c>
    </row>
    <row r="9" spans="1:18" x14ac:dyDescent="0.2">
      <c r="A9" t="s">
        <v>49</v>
      </c>
      <c r="B9" t="s">
        <v>33</v>
      </c>
      <c r="C9" t="s">
        <v>50</v>
      </c>
      <c r="D9" t="s">
        <v>34</v>
      </c>
      <c r="E9">
        <v>155</v>
      </c>
      <c r="F9">
        <v>1065</v>
      </c>
      <c r="G9">
        <v>14.6</v>
      </c>
      <c r="H9">
        <v>33.4</v>
      </c>
      <c r="I9">
        <v>33.4</v>
      </c>
      <c r="J9">
        <v>5177</v>
      </c>
      <c r="K9" t="s">
        <v>35</v>
      </c>
      <c r="L9">
        <v>890.2</v>
      </c>
      <c r="N9" t="s">
        <v>226</v>
      </c>
      <c r="O9">
        <f>SUM(O7:O8)</f>
        <v>49</v>
      </c>
      <c r="P9" s="2">
        <f>O9/$O$9</f>
        <v>1</v>
      </c>
      <c r="Q9" s="3">
        <f>SUM(Q7:Q8)</f>
        <v>638198.23999999987</v>
      </c>
      <c r="R9" s="2">
        <f>SUM(R7:R8)</f>
        <v>0.99999999999999989</v>
      </c>
    </row>
    <row r="10" spans="1:18" x14ac:dyDescent="0.2">
      <c r="A10" t="s">
        <v>51</v>
      </c>
      <c r="B10" t="s">
        <v>33</v>
      </c>
      <c r="C10" t="s">
        <v>52</v>
      </c>
      <c r="D10" t="s">
        <v>34</v>
      </c>
      <c r="E10">
        <v>31</v>
      </c>
      <c r="F10">
        <v>937</v>
      </c>
      <c r="G10">
        <v>3.3</v>
      </c>
      <c r="H10">
        <v>334.34</v>
      </c>
      <c r="I10">
        <v>367.774</v>
      </c>
      <c r="J10">
        <v>11400.99</v>
      </c>
      <c r="K10" t="s">
        <v>35</v>
      </c>
      <c r="L10">
        <v>9236.9</v>
      </c>
    </row>
    <row r="11" spans="1:18" x14ac:dyDescent="0.2">
      <c r="A11" t="s">
        <v>53</v>
      </c>
      <c r="B11" t="s">
        <v>33</v>
      </c>
      <c r="C11" t="s">
        <v>54</v>
      </c>
      <c r="D11" t="s">
        <v>34</v>
      </c>
      <c r="E11">
        <v>221</v>
      </c>
      <c r="F11">
        <v>542</v>
      </c>
      <c r="G11">
        <v>40.799999999999997</v>
      </c>
      <c r="H11">
        <v>232.72</v>
      </c>
      <c r="I11">
        <v>260.64640000000003</v>
      </c>
      <c r="J11">
        <v>57602.85</v>
      </c>
      <c r="K11" t="s">
        <v>35</v>
      </c>
      <c r="L11">
        <v>6332.9</v>
      </c>
    </row>
    <row r="12" spans="1:18" x14ac:dyDescent="0.2">
      <c r="A12" t="s">
        <v>55</v>
      </c>
      <c r="B12" t="s">
        <v>33</v>
      </c>
      <c r="C12" t="s">
        <v>56</v>
      </c>
      <c r="D12" t="s">
        <v>34</v>
      </c>
      <c r="E12">
        <v>145</v>
      </c>
      <c r="F12">
        <v>1048</v>
      </c>
      <c r="G12">
        <v>13.8</v>
      </c>
      <c r="H12">
        <v>229.9</v>
      </c>
      <c r="I12">
        <v>257.488</v>
      </c>
      <c r="J12">
        <v>37335.760000000002</v>
      </c>
      <c r="K12" t="s">
        <v>35</v>
      </c>
      <c r="L12">
        <v>5844.8</v>
      </c>
    </row>
    <row r="13" spans="1:18" x14ac:dyDescent="0.2">
      <c r="A13" t="s">
        <v>57</v>
      </c>
      <c r="B13" t="s">
        <v>37</v>
      </c>
      <c r="C13" t="s">
        <v>58</v>
      </c>
      <c r="D13" t="s">
        <v>34</v>
      </c>
      <c r="E13">
        <v>208</v>
      </c>
      <c r="F13">
        <v>931</v>
      </c>
      <c r="G13">
        <v>22.3</v>
      </c>
      <c r="H13">
        <v>66.52</v>
      </c>
      <c r="I13">
        <v>69.846000000000004</v>
      </c>
      <c r="J13">
        <v>14527.97</v>
      </c>
      <c r="K13" t="s">
        <v>35</v>
      </c>
      <c r="L13">
        <v>1935.1</v>
      </c>
    </row>
    <row r="14" spans="1:18" x14ac:dyDescent="0.2">
      <c r="A14" t="s">
        <v>59</v>
      </c>
      <c r="B14" t="s">
        <v>37</v>
      </c>
      <c r="C14" t="s">
        <v>60</v>
      </c>
      <c r="D14" t="s">
        <v>34</v>
      </c>
      <c r="E14">
        <v>130</v>
      </c>
      <c r="F14">
        <v>933</v>
      </c>
      <c r="G14">
        <v>13.9</v>
      </c>
      <c r="H14">
        <v>98.28</v>
      </c>
      <c r="I14">
        <v>103.194</v>
      </c>
      <c r="J14">
        <v>13415.22</v>
      </c>
      <c r="K14" t="s">
        <v>35</v>
      </c>
      <c r="L14">
        <v>2704.5</v>
      </c>
    </row>
    <row r="15" spans="1:18" x14ac:dyDescent="0.2">
      <c r="A15" t="s">
        <v>61</v>
      </c>
      <c r="B15" t="s">
        <v>44</v>
      </c>
      <c r="C15" t="s">
        <v>62</v>
      </c>
      <c r="D15" t="s">
        <v>34</v>
      </c>
      <c r="E15">
        <v>35</v>
      </c>
      <c r="F15">
        <v>770</v>
      </c>
      <c r="G15">
        <v>4.5</v>
      </c>
      <c r="H15">
        <v>50.35</v>
      </c>
      <c r="I15">
        <v>50.35</v>
      </c>
      <c r="J15">
        <v>1762.25</v>
      </c>
      <c r="K15" t="s">
        <v>35</v>
      </c>
      <c r="L15">
        <v>1516</v>
      </c>
    </row>
    <row r="16" spans="1:18" x14ac:dyDescent="0.2">
      <c r="A16" t="s">
        <v>63</v>
      </c>
      <c r="B16" t="s">
        <v>44</v>
      </c>
      <c r="C16" t="s">
        <v>54</v>
      </c>
      <c r="D16" t="s">
        <v>34</v>
      </c>
      <c r="E16">
        <v>54</v>
      </c>
      <c r="F16">
        <v>698</v>
      </c>
      <c r="G16">
        <v>7.7</v>
      </c>
      <c r="H16">
        <v>22.88</v>
      </c>
      <c r="I16">
        <v>22.88</v>
      </c>
      <c r="J16">
        <v>1235.52</v>
      </c>
      <c r="K16" t="s">
        <v>35</v>
      </c>
      <c r="L16">
        <v>701.3</v>
      </c>
    </row>
    <row r="17" spans="1:12" x14ac:dyDescent="0.2">
      <c r="A17" t="s">
        <v>64</v>
      </c>
      <c r="B17" t="s">
        <v>44</v>
      </c>
      <c r="C17" t="s">
        <v>65</v>
      </c>
      <c r="D17" t="s">
        <v>34</v>
      </c>
      <c r="E17">
        <v>68</v>
      </c>
      <c r="F17">
        <v>859</v>
      </c>
      <c r="G17">
        <v>7.9</v>
      </c>
      <c r="H17">
        <v>78.989999999999995</v>
      </c>
      <c r="I17">
        <v>78.989999999999995</v>
      </c>
      <c r="J17">
        <v>5371.32</v>
      </c>
      <c r="K17" t="s">
        <v>35</v>
      </c>
      <c r="L17">
        <v>2143.1</v>
      </c>
    </row>
    <row r="18" spans="1:12" x14ac:dyDescent="0.2">
      <c r="A18" t="s">
        <v>66</v>
      </c>
      <c r="B18" t="s">
        <v>42</v>
      </c>
      <c r="C18" t="s">
        <v>67</v>
      </c>
      <c r="D18" t="s">
        <v>34</v>
      </c>
      <c r="E18">
        <v>537</v>
      </c>
      <c r="F18">
        <v>974</v>
      </c>
      <c r="G18">
        <v>55.1</v>
      </c>
      <c r="H18">
        <v>92.54</v>
      </c>
      <c r="I18">
        <v>92.54</v>
      </c>
      <c r="J18">
        <v>49693.98</v>
      </c>
      <c r="K18" t="s">
        <v>35</v>
      </c>
      <c r="L18">
        <v>2691.3</v>
      </c>
    </row>
    <row r="19" spans="1:12" x14ac:dyDescent="0.2">
      <c r="A19" t="s">
        <v>68</v>
      </c>
      <c r="B19" t="s">
        <v>58</v>
      </c>
      <c r="C19" t="s">
        <v>69</v>
      </c>
      <c r="D19" t="s">
        <v>34</v>
      </c>
      <c r="E19">
        <v>13</v>
      </c>
      <c r="F19">
        <v>382</v>
      </c>
      <c r="G19">
        <v>3.4</v>
      </c>
      <c r="H19">
        <v>219.32</v>
      </c>
      <c r="I19">
        <v>219.32</v>
      </c>
      <c r="J19">
        <v>2851.16</v>
      </c>
      <c r="K19" t="s">
        <v>35</v>
      </c>
      <c r="L19">
        <v>6723.4</v>
      </c>
    </row>
    <row r="20" spans="1:12" x14ac:dyDescent="0.2">
      <c r="A20" t="s">
        <v>70</v>
      </c>
      <c r="B20" t="s">
        <v>58</v>
      </c>
      <c r="C20" t="s">
        <v>71</v>
      </c>
      <c r="D20" t="s">
        <v>34</v>
      </c>
      <c r="E20">
        <v>13</v>
      </c>
      <c r="F20">
        <v>903</v>
      </c>
      <c r="G20">
        <v>1.4</v>
      </c>
      <c r="H20">
        <v>141.38999999999999</v>
      </c>
      <c r="I20">
        <v>141.38999999999999</v>
      </c>
      <c r="J20">
        <v>1838.07</v>
      </c>
      <c r="K20" t="s">
        <v>35</v>
      </c>
      <c r="L20">
        <v>4284.5</v>
      </c>
    </row>
    <row r="21" spans="1:12" x14ac:dyDescent="0.2">
      <c r="A21" t="s">
        <v>72</v>
      </c>
      <c r="B21" t="s">
        <v>54</v>
      </c>
      <c r="C21" t="s">
        <v>73</v>
      </c>
      <c r="D21" t="s">
        <v>34</v>
      </c>
      <c r="E21">
        <v>87</v>
      </c>
      <c r="F21">
        <v>515</v>
      </c>
      <c r="G21">
        <v>16.899999999999999</v>
      </c>
      <c r="H21">
        <v>45.54</v>
      </c>
      <c r="I21">
        <v>45.54</v>
      </c>
      <c r="J21">
        <v>3961.98</v>
      </c>
      <c r="K21" t="s">
        <v>74</v>
      </c>
      <c r="L21">
        <v>550</v>
      </c>
    </row>
    <row r="22" spans="1:12" x14ac:dyDescent="0.2">
      <c r="A22" t="s">
        <v>75</v>
      </c>
      <c r="B22" t="s">
        <v>56</v>
      </c>
      <c r="C22" t="s">
        <v>76</v>
      </c>
      <c r="D22" t="s">
        <v>34</v>
      </c>
      <c r="E22">
        <v>62</v>
      </c>
      <c r="F22">
        <v>1122</v>
      </c>
      <c r="G22">
        <v>5.5</v>
      </c>
      <c r="H22">
        <v>141.94</v>
      </c>
      <c r="I22">
        <v>141.94</v>
      </c>
      <c r="J22">
        <v>8800.2800000000007</v>
      </c>
      <c r="K22" t="s">
        <v>35</v>
      </c>
      <c r="L22">
        <v>3966.6</v>
      </c>
    </row>
    <row r="23" spans="1:12" x14ac:dyDescent="0.2">
      <c r="A23" t="s">
        <v>77</v>
      </c>
      <c r="B23" t="s">
        <v>54</v>
      </c>
      <c r="C23" t="s">
        <v>78</v>
      </c>
      <c r="D23" t="s">
        <v>34</v>
      </c>
      <c r="E23">
        <v>49</v>
      </c>
      <c r="F23">
        <v>758</v>
      </c>
      <c r="G23">
        <v>6.5</v>
      </c>
      <c r="H23">
        <v>111.74</v>
      </c>
      <c r="I23">
        <v>111.74</v>
      </c>
      <c r="J23">
        <v>5475.26</v>
      </c>
      <c r="K23" t="s">
        <v>35</v>
      </c>
      <c r="L23">
        <v>3325.3</v>
      </c>
    </row>
    <row r="24" spans="1:12" x14ac:dyDescent="0.2">
      <c r="A24" t="s">
        <v>79</v>
      </c>
      <c r="B24" t="s">
        <v>56</v>
      </c>
      <c r="C24" t="s">
        <v>80</v>
      </c>
      <c r="D24" t="s">
        <v>34</v>
      </c>
      <c r="E24">
        <v>83</v>
      </c>
      <c r="F24">
        <v>546</v>
      </c>
      <c r="G24">
        <v>15.2</v>
      </c>
      <c r="H24">
        <v>30.29</v>
      </c>
      <c r="I24">
        <v>30.29</v>
      </c>
      <c r="J24">
        <v>2514.0700000000002</v>
      </c>
      <c r="K24" t="s">
        <v>74</v>
      </c>
      <c r="L24">
        <v>402.8</v>
      </c>
    </row>
    <row r="25" spans="1:12" x14ac:dyDescent="0.2">
      <c r="A25" t="s">
        <v>81</v>
      </c>
      <c r="B25" t="s">
        <v>54</v>
      </c>
      <c r="C25" t="s">
        <v>82</v>
      </c>
      <c r="D25" t="s">
        <v>34</v>
      </c>
      <c r="E25">
        <v>60</v>
      </c>
      <c r="F25">
        <v>645</v>
      </c>
      <c r="G25">
        <v>9.3000000000000007</v>
      </c>
      <c r="H25">
        <v>99.56</v>
      </c>
      <c r="I25">
        <v>99.56</v>
      </c>
      <c r="J25">
        <v>5973.6</v>
      </c>
      <c r="K25" t="s">
        <v>74</v>
      </c>
      <c r="L25">
        <v>1183</v>
      </c>
    </row>
    <row r="26" spans="1:12" x14ac:dyDescent="0.2">
      <c r="A26" t="s">
        <v>83</v>
      </c>
      <c r="B26" t="s">
        <v>62</v>
      </c>
      <c r="C26" t="s">
        <v>84</v>
      </c>
      <c r="D26" t="s">
        <v>34</v>
      </c>
      <c r="E26">
        <v>35</v>
      </c>
      <c r="F26">
        <v>549</v>
      </c>
      <c r="G26">
        <v>6.4</v>
      </c>
      <c r="H26">
        <v>28.97</v>
      </c>
      <c r="I26">
        <v>28.97</v>
      </c>
      <c r="J26">
        <v>1013.95</v>
      </c>
      <c r="K26" t="s">
        <v>74</v>
      </c>
      <c r="L26">
        <v>362.3</v>
      </c>
    </row>
    <row r="27" spans="1:12" x14ac:dyDescent="0.2">
      <c r="A27" t="s">
        <v>85</v>
      </c>
      <c r="B27" t="s">
        <v>54</v>
      </c>
      <c r="C27" t="s">
        <v>86</v>
      </c>
      <c r="D27" t="s">
        <v>34</v>
      </c>
      <c r="E27">
        <v>79</v>
      </c>
      <c r="F27">
        <v>1038</v>
      </c>
      <c r="G27">
        <v>7.6</v>
      </c>
      <c r="H27">
        <v>112.01</v>
      </c>
      <c r="I27">
        <v>112.01</v>
      </c>
      <c r="J27">
        <v>8848.7900000000009</v>
      </c>
      <c r="K27" t="s">
        <v>35</v>
      </c>
      <c r="L27">
        <v>3359.3</v>
      </c>
    </row>
    <row r="28" spans="1:12" x14ac:dyDescent="0.2">
      <c r="A28" t="s">
        <v>87</v>
      </c>
      <c r="B28" t="s">
        <v>65</v>
      </c>
      <c r="C28" t="s">
        <v>88</v>
      </c>
      <c r="D28" t="s">
        <v>34</v>
      </c>
      <c r="E28">
        <v>68</v>
      </c>
      <c r="F28">
        <v>828</v>
      </c>
      <c r="G28">
        <v>8.1999999999999993</v>
      </c>
      <c r="H28">
        <v>107.89</v>
      </c>
      <c r="I28">
        <v>107.89</v>
      </c>
      <c r="J28">
        <v>7336.52</v>
      </c>
      <c r="K28" t="s">
        <v>35</v>
      </c>
      <c r="L28">
        <v>3052.5</v>
      </c>
    </row>
    <row r="29" spans="1:12" x14ac:dyDescent="0.2">
      <c r="A29" t="s">
        <v>89</v>
      </c>
      <c r="B29" t="s">
        <v>46</v>
      </c>
      <c r="C29" t="s">
        <v>90</v>
      </c>
      <c r="D29" t="s">
        <v>34</v>
      </c>
      <c r="E29">
        <v>79</v>
      </c>
      <c r="F29">
        <v>1199</v>
      </c>
      <c r="G29">
        <v>6.6</v>
      </c>
      <c r="H29">
        <v>28.67</v>
      </c>
      <c r="I29">
        <v>28.67</v>
      </c>
      <c r="J29">
        <v>2264.9299999999998</v>
      </c>
      <c r="K29" t="s">
        <v>74</v>
      </c>
      <c r="L29">
        <v>372.2</v>
      </c>
    </row>
    <row r="30" spans="1:12" x14ac:dyDescent="0.2">
      <c r="A30" t="s">
        <v>91</v>
      </c>
      <c r="B30" t="s">
        <v>46</v>
      </c>
      <c r="C30" t="s">
        <v>92</v>
      </c>
      <c r="D30" t="s">
        <v>34</v>
      </c>
      <c r="E30">
        <v>30</v>
      </c>
      <c r="F30">
        <v>611</v>
      </c>
      <c r="G30">
        <v>4.9000000000000004</v>
      </c>
      <c r="H30">
        <v>47.52</v>
      </c>
      <c r="I30">
        <v>47.52</v>
      </c>
      <c r="J30">
        <v>1425.6</v>
      </c>
      <c r="K30" t="s">
        <v>74</v>
      </c>
      <c r="L30">
        <v>610.9</v>
      </c>
    </row>
    <row r="31" spans="1:12" x14ac:dyDescent="0.2">
      <c r="A31" t="s">
        <v>93</v>
      </c>
      <c r="B31" t="s">
        <v>46</v>
      </c>
      <c r="C31" t="s">
        <v>94</v>
      </c>
      <c r="D31" t="s">
        <v>34</v>
      </c>
      <c r="E31">
        <v>109</v>
      </c>
      <c r="F31">
        <v>789</v>
      </c>
      <c r="G31">
        <v>13.8</v>
      </c>
      <c r="H31">
        <v>63.73</v>
      </c>
      <c r="I31">
        <v>63.73</v>
      </c>
      <c r="J31">
        <v>6946.57</v>
      </c>
      <c r="K31" t="s">
        <v>74</v>
      </c>
      <c r="L31">
        <v>796.8</v>
      </c>
    </row>
    <row r="32" spans="1:12" x14ac:dyDescent="0.2">
      <c r="A32" t="s">
        <v>95</v>
      </c>
      <c r="B32" t="s">
        <v>46</v>
      </c>
      <c r="C32" t="s">
        <v>96</v>
      </c>
      <c r="D32" t="s">
        <v>34</v>
      </c>
      <c r="E32">
        <v>73</v>
      </c>
      <c r="F32">
        <v>470</v>
      </c>
      <c r="G32">
        <v>15.5</v>
      </c>
      <c r="H32">
        <v>4.6100000000000003</v>
      </c>
      <c r="I32">
        <v>4.6100000000000003</v>
      </c>
      <c r="J32">
        <v>336.53</v>
      </c>
      <c r="K32" t="s">
        <v>74</v>
      </c>
      <c r="L32">
        <v>57.7</v>
      </c>
    </row>
    <row r="33" spans="1:12" x14ac:dyDescent="0.2">
      <c r="A33" t="s">
        <v>97</v>
      </c>
      <c r="B33" t="s">
        <v>46</v>
      </c>
      <c r="C33" t="s">
        <v>98</v>
      </c>
      <c r="D33" t="s">
        <v>34</v>
      </c>
      <c r="E33">
        <v>60</v>
      </c>
      <c r="F33">
        <v>510</v>
      </c>
      <c r="G33">
        <v>11.8</v>
      </c>
      <c r="H33">
        <v>9.9499999999999993</v>
      </c>
      <c r="I33">
        <v>9.9499999999999993</v>
      </c>
      <c r="J33">
        <v>597</v>
      </c>
      <c r="K33" t="s">
        <v>74</v>
      </c>
      <c r="L33">
        <v>119.3</v>
      </c>
    </row>
    <row r="34" spans="1:12" x14ac:dyDescent="0.2">
      <c r="A34" t="s">
        <v>99</v>
      </c>
      <c r="B34" t="s">
        <v>50</v>
      </c>
      <c r="C34" t="s">
        <v>100</v>
      </c>
      <c r="D34" t="s">
        <v>34</v>
      </c>
      <c r="E34">
        <v>61</v>
      </c>
      <c r="F34">
        <v>935</v>
      </c>
      <c r="G34">
        <v>6.5</v>
      </c>
      <c r="H34">
        <v>42.87</v>
      </c>
      <c r="I34">
        <v>42.87</v>
      </c>
      <c r="J34">
        <v>2615.0700000000002</v>
      </c>
      <c r="K34" t="s">
        <v>74</v>
      </c>
      <c r="L34">
        <v>555.4</v>
      </c>
    </row>
    <row r="35" spans="1:12" x14ac:dyDescent="0.2">
      <c r="A35" t="s">
        <v>101</v>
      </c>
      <c r="B35" t="s">
        <v>50</v>
      </c>
      <c r="C35" t="s">
        <v>102</v>
      </c>
      <c r="D35" t="s">
        <v>34</v>
      </c>
      <c r="E35">
        <v>94</v>
      </c>
      <c r="F35">
        <v>746</v>
      </c>
      <c r="G35">
        <v>12.6</v>
      </c>
      <c r="H35">
        <v>63.1</v>
      </c>
      <c r="I35">
        <v>63.1</v>
      </c>
      <c r="J35">
        <v>5931.4</v>
      </c>
      <c r="K35" t="s">
        <v>74</v>
      </c>
      <c r="L35">
        <v>810.4</v>
      </c>
    </row>
    <row r="36" spans="1:12" x14ac:dyDescent="0.2">
      <c r="A36" t="s">
        <v>103</v>
      </c>
      <c r="B36" t="s">
        <v>48</v>
      </c>
      <c r="C36" t="s">
        <v>104</v>
      </c>
      <c r="D36" t="s">
        <v>34</v>
      </c>
      <c r="E36">
        <v>71</v>
      </c>
      <c r="F36">
        <v>1087</v>
      </c>
      <c r="G36">
        <v>6.5</v>
      </c>
      <c r="H36">
        <v>39.1</v>
      </c>
      <c r="I36">
        <v>39.1</v>
      </c>
      <c r="J36">
        <v>2776.1</v>
      </c>
      <c r="K36" t="s">
        <v>74</v>
      </c>
      <c r="L36">
        <v>504.9</v>
      </c>
    </row>
    <row r="37" spans="1:12" x14ac:dyDescent="0.2">
      <c r="A37" t="s">
        <v>105</v>
      </c>
      <c r="B37" t="s">
        <v>67</v>
      </c>
      <c r="C37" t="s">
        <v>106</v>
      </c>
      <c r="D37" t="s">
        <v>34</v>
      </c>
      <c r="E37">
        <v>119</v>
      </c>
      <c r="F37">
        <v>773</v>
      </c>
      <c r="G37">
        <v>15.4</v>
      </c>
      <c r="H37">
        <v>162.03</v>
      </c>
      <c r="I37">
        <v>162.03</v>
      </c>
      <c r="J37">
        <v>19281.57</v>
      </c>
      <c r="K37" t="s">
        <v>74</v>
      </c>
      <c r="L37">
        <v>1933.6</v>
      </c>
    </row>
    <row r="38" spans="1:12" x14ac:dyDescent="0.2">
      <c r="A38" t="s">
        <v>107</v>
      </c>
      <c r="B38" t="s">
        <v>67</v>
      </c>
      <c r="C38" t="s">
        <v>108</v>
      </c>
      <c r="D38" t="s">
        <v>34</v>
      </c>
      <c r="E38">
        <v>139</v>
      </c>
      <c r="F38">
        <v>669</v>
      </c>
      <c r="G38">
        <v>20.8</v>
      </c>
      <c r="H38">
        <v>238.65</v>
      </c>
      <c r="I38">
        <v>238.65</v>
      </c>
      <c r="J38">
        <v>33172.35</v>
      </c>
      <c r="K38" t="s">
        <v>74</v>
      </c>
      <c r="L38">
        <v>2853.9</v>
      </c>
    </row>
    <row r="39" spans="1:12" x14ac:dyDescent="0.2">
      <c r="A39" t="s">
        <v>109</v>
      </c>
      <c r="B39" t="s">
        <v>67</v>
      </c>
      <c r="C39" t="s">
        <v>110</v>
      </c>
      <c r="D39" t="s">
        <v>34</v>
      </c>
      <c r="E39">
        <v>109</v>
      </c>
      <c r="F39">
        <v>1172</v>
      </c>
      <c r="G39">
        <v>9.3000000000000007</v>
      </c>
      <c r="H39">
        <v>208.84</v>
      </c>
      <c r="I39">
        <v>208.84</v>
      </c>
      <c r="J39">
        <v>22763.56</v>
      </c>
      <c r="K39" t="s">
        <v>74</v>
      </c>
      <c r="L39">
        <v>2557.6999999999998</v>
      </c>
    </row>
    <row r="40" spans="1:12" x14ac:dyDescent="0.2">
      <c r="A40" t="s">
        <v>111</v>
      </c>
      <c r="B40" t="s">
        <v>67</v>
      </c>
      <c r="C40" t="s">
        <v>112</v>
      </c>
      <c r="D40" t="s">
        <v>34</v>
      </c>
      <c r="E40">
        <v>170</v>
      </c>
      <c r="F40">
        <v>1067</v>
      </c>
      <c r="G40">
        <v>15.9</v>
      </c>
      <c r="H40">
        <v>106.43</v>
      </c>
      <c r="I40">
        <v>106.43</v>
      </c>
      <c r="J40">
        <v>18093.099999999999</v>
      </c>
      <c r="K40" t="s">
        <v>35</v>
      </c>
      <c r="L40">
        <v>3134.3</v>
      </c>
    </row>
    <row r="41" spans="1:12" x14ac:dyDescent="0.2">
      <c r="A41" t="s">
        <v>113</v>
      </c>
      <c r="B41" t="s">
        <v>48</v>
      </c>
      <c r="C41" t="s">
        <v>114</v>
      </c>
      <c r="D41" t="s">
        <v>34</v>
      </c>
      <c r="E41">
        <v>76</v>
      </c>
      <c r="F41">
        <v>585</v>
      </c>
      <c r="G41">
        <v>13</v>
      </c>
      <c r="H41">
        <v>229.33</v>
      </c>
      <c r="I41">
        <v>254.55629999999999</v>
      </c>
      <c r="J41">
        <v>19346.28</v>
      </c>
      <c r="K41" t="s">
        <v>35</v>
      </c>
      <c r="L41">
        <v>6265.8</v>
      </c>
    </row>
    <row r="42" spans="1:12" x14ac:dyDescent="0.2">
      <c r="A42" t="s">
        <v>115</v>
      </c>
      <c r="B42" t="s">
        <v>69</v>
      </c>
      <c r="C42" t="s">
        <v>116</v>
      </c>
      <c r="D42" t="s">
        <v>34</v>
      </c>
      <c r="E42">
        <v>13</v>
      </c>
      <c r="F42">
        <v>983</v>
      </c>
      <c r="G42">
        <v>1.3</v>
      </c>
      <c r="H42">
        <v>0.08</v>
      </c>
      <c r="I42">
        <v>0.08</v>
      </c>
      <c r="J42">
        <v>1.04</v>
      </c>
      <c r="K42" t="s">
        <v>74</v>
      </c>
      <c r="L42">
        <v>1.1000000000000001</v>
      </c>
    </row>
    <row r="43" spans="1:12" x14ac:dyDescent="0.2">
      <c r="A43" t="s">
        <v>117</v>
      </c>
      <c r="B43" t="s">
        <v>52</v>
      </c>
      <c r="C43" t="s">
        <v>118</v>
      </c>
      <c r="D43" t="s">
        <v>34</v>
      </c>
      <c r="E43">
        <v>5</v>
      </c>
      <c r="F43">
        <v>868</v>
      </c>
      <c r="G43">
        <v>0.6</v>
      </c>
      <c r="H43">
        <v>0</v>
      </c>
      <c r="I43">
        <v>0</v>
      </c>
      <c r="J43">
        <v>0</v>
      </c>
      <c r="K43" t="s">
        <v>74</v>
      </c>
      <c r="L43">
        <v>0</v>
      </c>
    </row>
    <row r="44" spans="1:12" x14ac:dyDescent="0.2">
      <c r="A44" t="s">
        <v>119</v>
      </c>
      <c r="B44" t="s">
        <v>52</v>
      </c>
      <c r="C44" t="s">
        <v>120</v>
      </c>
      <c r="D44" t="s">
        <v>34</v>
      </c>
      <c r="E44">
        <v>14</v>
      </c>
      <c r="F44">
        <v>389</v>
      </c>
      <c r="G44">
        <v>3.6</v>
      </c>
      <c r="H44">
        <v>10.84</v>
      </c>
      <c r="I44">
        <v>10.84</v>
      </c>
      <c r="J44">
        <v>151.76</v>
      </c>
      <c r="K44" t="s">
        <v>74</v>
      </c>
      <c r="L44">
        <v>139.6</v>
      </c>
    </row>
    <row r="45" spans="1:12" x14ac:dyDescent="0.2">
      <c r="A45" t="s">
        <v>121</v>
      </c>
      <c r="B45" t="s">
        <v>52</v>
      </c>
      <c r="C45" t="s">
        <v>122</v>
      </c>
      <c r="D45" t="s">
        <v>34</v>
      </c>
      <c r="E45">
        <v>12</v>
      </c>
      <c r="F45">
        <v>341</v>
      </c>
      <c r="G45">
        <v>3.5</v>
      </c>
      <c r="H45">
        <v>37.5</v>
      </c>
      <c r="I45">
        <v>37.5</v>
      </c>
      <c r="J45">
        <v>450</v>
      </c>
      <c r="K45" t="s">
        <v>74</v>
      </c>
      <c r="L45">
        <v>485</v>
      </c>
    </row>
    <row r="46" spans="1:12" x14ac:dyDescent="0.2">
      <c r="A46" t="s">
        <v>123</v>
      </c>
      <c r="B46" t="s">
        <v>71</v>
      </c>
      <c r="C46" t="s">
        <v>124</v>
      </c>
      <c r="D46" t="s">
        <v>34</v>
      </c>
      <c r="E46">
        <v>13</v>
      </c>
      <c r="F46">
        <v>1084</v>
      </c>
      <c r="G46">
        <v>1.2</v>
      </c>
      <c r="H46">
        <v>111.19</v>
      </c>
      <c r="I46">
        <v>111.19</v>
      </c>
      <c r="J46">
        <v>1445.47</v>
      </c>
      <c r="K46" t="s">
        <v>35</v>
      </c>
      <c r="L46">
        <v>3393.8</v>
      </c>
    </row>
    <row r="47" spans="1:12" x14ac:dyDescent="0.2">
      <c r="A47" t="s">
        <v>125</v>
      </c>
      <c r="B47" t="s">
        <v>58</v>
      </c>
      <c r="C47" t="s">
        <v>126</v>
      </c>
      <c r="D47" t="s">
        <v>34</v>
      </c>
      <c r="E47">
        <v>72</v>
      </c>
      <c r="F47">
        <v>517</v>
      </c>
      <c r="G47">
        <v>13.9</v>
      </c>
      <c r="H47">
        <v>98.16</v>
      </c>
      <c r="I47">
        <v>98.16</v>
      </c>
      <c r="J47">
        <v>7067.52</v>
      </c>
      <c r="K47" t="s">
        <v>74</v>
      </c>
      <c r="L47">
        <v>1147.2</v>
      </c>
    </row>
    <row r="48" spans="1:12" x14ac:dyDescent="0.2">
      <c r="A48" t="s">
        <v>127</v>
      </c>
      <c r="B48" t="s">
        <v>58</v>
      </c>
      <c r="C48" t="s">
        <v>128</v>
      </c>
      <c r="D48" t="s">
        <v>34</v>
      </c>
      <c r="E48">
        <v>110</v>
      </c>
      <c r="F48">
        <v>429</v>
      </c>
      <c r="G48">
        <v>25.6</v>
      </c>
      <c r="H48">
        <v>0</v>
      </c>
      <c r="I48">
        <v>0</v>
      </c>
      <c r="J48">
        <v>0</v>
      </c>
      <c r="K48" t="s">
        <v>74</v>
      </c>
      <c r="L48">
        <v>0</v>
      </c>
    </row>
    <row r="49" spans="1:12" x14ac:dyDescent="0.2">
      <c r="A49" t="s">
        <v>129</v>
      </c>
      <c r="B49" t="s">
        <v>60</v>
      </c>
      <c r="C49" t="s">
        <v>130</v>
      </c>
      <c r="D49" t="s">
        <v>34</v>
      </c>
      <c r="E49">
        <v>63</v>
      </c>
      <c r="F49">
        <v>1024</v>
      </c>
      <c r="G49">
        <v>6.2</v>
      </c>
      <c r="H49">
        <v>0</v>
      </c>
      <c r="I49">
        <v>0</v>
      </c>
      <c r="J49">
        <v>0</v>
      </c>
      <c r="K49" t="s">
        <v>74</v>
      </c>
      <c r="L49">
        <v>0</v>
      </c>
    </row>
    <row r="50" spans="1:12" x14ac:dyDescent="0.2">
      <c r="A50" t="s">
        <v>131</v>
      </c>
      <c r="B50" t="s">
        <v>60</v>
      </c>
      <c r="C50" t="s">
        <v>132</v>
      </c>
      <c r="D50" t="s">
        <v>34</v>
      </c>
      <c r="E50">
        <v>67</v>
      </c>
      <c r="F50">
        <v>875</v>
      </c>
      <c r="G50">
        <v>7.7</v>
      </c>
      <c r="H50">
        <v>117.01</v>
      </c>
      <c r="I50">
        <v>117.01</v>
      </c>
      <c r="J50">
        <v>7839.67</v>
      </c>
      <c r="K50" t="s">
        <v>74</v>
      </c>
      <c r="L50">
        <v>1560.7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topLeftCell="G1" zoomScale="172" workbookViewId="0">
      <selection activeCell="O2" sqref="O2"/>
    </sheetView>
  </sheetViews>
  <sheetFormatPr baseColWidth="10" defaultColWidth="8.83203125" defaultRowHeight="15" x14ac:dyDescent="0.2"/>
  <cols>
    <col min="15" max="15" width="11.1640625" customWidth="1"/>
  </cols>
  <sheetData>
    <row r="1" spans="1:18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8" x14ac:dyDescent="0.2">
      <c r="A2" t="s">
        <v>133</v>
      </c>
      <c r="B2" t="s">
        <v>134</v>
      </c>
      <c r="C2" t="s">
        <v>135</v>
      </c>
      <c r="D2" t="s">
        <v>136</v>
      </c>
      <c r="E2">
        <v>741</v>
      </c>
      <c r="F2">
        <v>930</v>
      </c>
      <c r="G2">
        <v>79.7</v>
      </c>
      <c r="H2">
        <v>247.85</v>
      </c>
      <c r="I2">
        <v>247.85</v>
      </c>
      <c r="J2">
        <v>183656.85</v>
      </c>
      <c r="K2" t="s">
        <v>35</v>
      </c>
      <c r="L2">
        <v>3249.4</v>
      </c>
      <c r="N2" t="s">
        <v>225</v>
      </c>
      <c r="O2">
        <f>SUM(J2:J52)</f>
        <v>2814741.05</v>
      </c>
    </row>
    <row r="3" spans="1:18" x14ac:dyDescent="0.2">
      <c r="A3" t="s">
        <v>137</v>
      </c>
      <c r="B3" t="s">
        <v>138</v>
      </c>
      <c r="C3" t="s">
        <v>135</v>
      </c>
      <c r="D3" t="s">
        <v>136</v>
      </c>
      <c r="E3">
        <v>741</v>
      </c>
      <c r="F3">
        <v>990</v>
      </c>
      <c r="G3">
        <v>74.8</v>
      </c>
      <c r="H3">
        <v>338.46</v>
      </c>
      <c r="I3">
        <v>338.46</v>
      </c>
      <c r="J3">
        <v>250798.86</v>
      </c>
      <c r="K3" t="s">
        <v>35</v>
      </c>
      <c r="L3">
        <v>4672.6000000000004</v>
      </c>
    </row>
    <row r="4" spans="1:18" x14ac:dyDescent="0.2">
      <c r="A4" t="s">
        <v>139</v>
      </c>
      <c r="B4" t="s">
        <v>140</v>
      </c>
      <c r="C4" t="s">
        <v>135</v>
      </c>
      <c r="D4" t="s">
        <v>136</v>
      </c>
      <c r="E4">
        <v>740</v>
      </c>
      <c r="F4">
        <v>1000</v>
      </c>
      <c r="G4">
        <v>74</v>
      </c>
      <c r="H4">
        <v>387.71</v>
      </c>
      <c r="I4">
        <v>387.71</v>
      </c>
      <c r="J4">
        <v>286905.40000000002</v>
      </c>
      <c r="K4" t="s">
        <v>35</v>
      </c>
      <c r="L4">
        <v>5294.6</v>
      </c>
    </row>
    <row r="5" spans="1:18" x14ac:dyDescent="0.2">
      <c r="A5" t="s">
        <v>141</v>
      </c>
      <c r="B5" t="s">
        <v>37</v>
      </c>
      <c r="C5" t="s">
        <v>33</v>
      </c>
      <c r="D5" t="s">
        <v>136</v>
      </c>
      <c r="E5">
        <v>403</v>
      </c>
      <c r="F5">
        <v>1168</v>
      </c>
      <c r="G5">
        <v>34.5</v>
      </c>
      <c r="H5">
        <v>371.87</v>
      </c>
      <c r="I5">
        <v>394.18220000000002</v>
      </c>
      <c r="J5">
        <v>158855.43</v>
      </c>
      <c r="K5" t="s">
        <v>35</v>
      </c>
      <c r="L5">
        <v>4836.1000000000004</v>
      </c>
    </row>
    <row r="6" spans="1:18" x14ac:dyDescent="0.2">
      <c r="A6" t="s">
        <v>45</v>
      </c>
      <c r="B6" t="s">
        <v>33</v>
      </c>
      <c r="C6" t="s">
        <v>46</v>
      </c>
      <c r="D6" t="s">
        <v>136</v>
      </c>
      <c r="E6">
        <v>255</v>
      </c>
      <c r="F6">
        <v>686</v>
      </c>
      <c r="G6">
        <v>37.200000000000003</v>
      </c>
      <c r="H6">
        <v>26.35</v>
      </c>
      <c r="I6">
        <v>26.35</v>
      </c>
      <c r="J6">
        <v>6719.25</v>
      </c>
      <c r="K6" t="s">
        <v>35</v>
      </c>
      <c r="L6">
        <v>356</v>
      </c>
      <c r="O6" t="s">
        <v>227</v>
      </c>
      <c r="P6" t="s">
        <v>228</v>
      </c>
      <c r="Q6" t="s">
        <v>229</v>
      </c>
      <c r="R6" t="s">
        <v>230</v>
      </c>
    </row>
    <row r="7" spans="1:18" x14ac:dyDescent="0.2">
      <c r="A7" t="s">
        <v>55</v>
      </c>
      <c r="B7" t="s">
        <v>33</v>
      </c>
      <c r="C7" t="s">
        <v>56</v>
      </c>
      <c r="D7" t="s">
        <v>136</v>
      </c>
      <c r="E7">
        <v>97</v>
      </c>
      <c r="F7">
        <v>1048</v>
      </c>
      <c r="G7">
        <v>9.3000000000000007</v>
      </c>
      <c r="H7">
        <v>487.67</v>
      </c>
      <c r="I7">
        <v>546.19039999999995</v>
      </c>
      <c r="J7">
        <v>52980.47</v>
      </c>
      <c r="K7" t="s">
        <v>35</v>
      </c>
      <c r="L7">
        <v>5844.8</v>
      </c>
      <c r="N7" t="s">
        <v>35</v>
      </c>
      <c r="O7">
        <f>COUNTIF(K2:K50,N7)</f>
        <v>27</v>
      </c>
      <c r="P7" s="2">
        <f>O7/$O$9</f>
        <v>0.55102040816326525</v>
      </c>
      <c r="Q7">
        <f>SUMIF($K$2:$K$50,N7,$J$2:$J$50)</f>
        <v>2697312.0199999996</v>
      </c>
      <c r="R7" s="2">
        <f>Q7/Q9</f>
        <v>0.95828069868096755</v>
      </c>
    </row>
    <row r="8" spans="1:18" x14ac:dyDescent="0.2">
      <c r="A8" t="s">
        <v>142</v>
      </c>
      <c r="B8" t="s">
        <v>33</v>
      </c>
      <c r="C8" t="s">
        <v>67</v>
      </c>
      <c r="D8" t="s">
        <v>136</v>
      </c>
      <c r="E8">
        <v>51</v>
      </c>
      <c r="F8">
        <v>718</v>
      </c>
      <c r="G8">
        <v>7.1</v>
      </c>
      <c r="H8">
        <v>704.82</v>
      </c>
      <c r="I8">
        <v>782.35019999999997</v>
      </c>
      <c r="J8">
        <v>39899.86</v>
      </c>
      <c r="K8" t="s">
        <v>35</v>
      </c>
      <c r="L8">
        <v>8782.4</v>
      </c>
      <c r="N8" t="s">
        <v>74</v>
      </c>
      <c r="O8">
        <f>COUNTIF(K2:K50,N8)</f>
        <v>22</v>
      </c>
      <c r="P8" s="2">
        <f>O8/$O$9</f>
        <v>0.44897959183673469</v>
      </c>
      <c r="Q8">
        <f>SUMIF($K$2:$K$52,N8,$J$2:$J$52)</f>
        <v>117429.03000000001</v>
      </c>
      <c r="R8" s="2">
        <f>Q8/Q9</f>
        <v>4.1719301319032544E-2</v>
      </c>
    </row>
    <row r="9" spans="1:18" x14ac:dyDescent="0.2">
      <c r="A9" t="s">
        <v>143</v>
      </c>
      <c r="B9" t="s">
        <v>37</v>
      </c>
      <c r="C9" t="s">
        <v>48</v>
      </c>
      <c r="D9" t="s">
        <v>136</v>
      </c>
      <c r="E9">
        <v>106</v>
      </c>
      <c r="F9">
        <v>491</v>
      </c>
      <c r="G9">
        <v>21.6</v>
      </c>
      <c r="H9">
        <v>446.29</v>
      </c>
      <c r="I9">
        <v>473.06740000000002</v>
      </c>
      <c r="J9">
        <v>50145.14</v>
      </c>
      <c r="K9" t="s">
        <v>35</v>
      </c>
      <c r="L9">
        <v>5655.8</v>
      </c>
      <c r="N9" t="s">
        <v>226</v>
      </c>
      <c r="O9">
        <f>SUM(O7:O8)</f>
        <v>49</v>
      </c>
      <c r="P9" s="2">
        <f>O9/$O$9</f>
        <v>1</v>
      </c>
      <c r="Q9" s="3">
        <f>SUM(Q7:Q8)</f>
        <v>2814741.0499999993</v>
      </c>
      <c r="R9" s="2">
        <f>SUM(R7:R8)</f>
        <v>1</v>
      </c>
    </row>
    <row r="10" spans="1:18" x14ac:dyDescent="0.2">
      <c r="A10" t="s">
        <v>144</v>
      </c>
      <c r="B10" t="s">
        <v>37</v>
      </c>
      <c r="C10" t="s">
        <v>50</v>
      </c>
      <c r="D10" t="s">
        <v>136</v>
      </c>
      <c r="E10">
        <v>213</v>
      </c>
      <c r="F10">
        <v>606</v>
      </c>
      <c r="G10">
        <v>35.1</v>
      </c>
      <c r="H10">
        <v>312.08</v>
      </c>
      <c r="I10">
        <v>330.8048</v>
      </c>
      <c r="J10">
        <v>70461.42</v>
      </c>
      <c r="K10" t="s">
        <v>35</v>
      </c>
      <c r="L10">
        <v>4156.6000000000004</v>
      </c>
    </row>
    <row r="11" spans="1:18" x14ac:dyDescent="0.2">
      <c r="A11" t="s">
        <v>145</v>
      </c>
      <c r="B11" t="s">
        <v>58</v>
      </c>
      <c r="C11" t="s">
        <v>37</v>
      </c>
      <c r="D11" t="s">
        <v>136</v>
      </c>
      <c r="E11">
        <v>349</v>
      </c>
      <c r="F11">
        <v>549</v>
      </c>
      <c r="G11">
        <v>63.6</v>
      </c>
      <c r="H11">
        <v>154.5</v>
      </c>
      <c r="I11">
        <v>162.22499999999999</v>
      </c>
      <c r="J11">
        <v>56616.53</v>
      </c>
      <c r="K11" t="s">
        <v>35</v>
      </c>
      <c r="L11">
        <v>1935.1</v>
      </c>
    </row>
    <row r="12" spans="1:18" x14ac:dyDescent="0.2">
      <c r="A12" t="s">
        <v>146</v>
      </c>
      <c r="B12" t="s">
        <v>60</v>
      </c>
      <c r="C12" t="s">
        <v>37</v>
      </c>
      <c r="D12" t="s">
        <v>136</v>
      </c>
      <c r="E12">
        <v>373</v>
      </c>
      <c r="F12">
        <v>544</v>
      </c>
      <c r="G12">
        <v>68.599999999999994</v>
      </c>
      <c r="H12">
        <v>218.67</v>
      </c>
      <c r="I12">
        <v>229.6035</v>
      </c>
      <c r="J12">
        <v>85642.11</v>
      </c>
      <c r="K12" t="s">
        <v>35</v>
      </c>
      <c r="L12">
        <v>2704.5</v>
      </c>
    </row>
    <row r="13" spans="1:18" x14ac:dyDescent="0.2">
      <c r="A13" t="s">
        <v>147</v>
      </c>
      <c r="B13" t="s">
        <v>135</v>
      </c>
      <c r="C13" t="s">
        <v>58</v>
      </c>
      <c r="D13" t="s">
        <v>136</v>
      </c>
      <c r="E13">
        <v>467</v>
      </c>
      <c r="F13">
        <v>467</v>
      </c>
      <c r="G13">
        <v>100</v>
      </c>
      <c r="H13">
        <v>270.25</v>
      </c>
      <c r="I13">
        <v>270.25</v>
      </c>
      <c r="J13">
        <v>126206.75</v>
      </c>
      <c r="K13" t="s">
        <v>35</v>
      </c>
      <c r="L13">
        <v>3903.9</v>
      </c>
    </row>
    <row r="14" spans="1:18" x14ac:dyDescent="0.2">
      <c r="A14" t="s">
        <v>148</v>
      </c>
      <c r="B14" t="s">
        <v>135</v>
      </c>
      <c r="C14" t="s">
        <v>149</v>
      </c>
      <c r="D14" t="s">
        <v>136</v>
      </c>
      <c r="E14">
        <v>49</v>
      </c>
      <c r="F14">
        <v>736</v>
      </c>
      <c r="G14">
        <v>6.7</v>
      </c>
      <c r="H14">
        <v>214.81</v>
      </c>
      <c r="I14">
        <v>214.81</v>
      </c>
      <c r="J14">
        <v>10525.69</v>
      </c>
      <c r="K14" t="s">
        <v>35</v>
      </c>
      <c r="L14">
        <v>2902.4</v>
      </c>
    </row>
    <row r="15" spans="1:18" x14ac:dyDescent="0.2">
      <c r="A15" t="s">
        <v>150</v>
      </c>
      <c r="B15" t="s">
        <v>135</v>
      </c>
      <c r="C15" t="s">
        <v>52</v>
      </c>
      <c r="D15" t="s">
        <v>136</v>
      </c>
      <c r="E15">
        <v>743</v>
      </c>
      <c r="F15">
        <v>1179</v>
      </c>
      <c r="G15">
        <v>63</v>
      </c>
      <c r="H15">
        <v>391.05</v>
      </c>
      <c r="I15">
        <v>391.05</v>
      </c>
      <c r="J15">
        <v>290550.15000000002</v>
      </c>
      <c r="K15" t="s">
        <v>35</v>
      </c>
      <c r="L15">
        <v>4951</v>
      </c>
    </row>
    <row r="16" spans="1:18" x14ac:dyDescent="0.2">
      <c r="A16" t="s">
        <v>151</v>
      </c>
      <c r="B16" t="s">
        <v>135</v>
      </c>
      <c r="C16" t="s">
        <v>69</v>
      </c>
      <c r="D16" t="s">
        <v>136</v>
      </c>
      <c r="E16">
        <v>170</v>
      </c>
      <c r="F16">
        <v>555</v>
      </c>
      <c r="G16">
        <v>30.6</v>
      </c>
      <c r="H16">
        <v>400.12</v>
      </c>
      <c r="I16">
        <v>400.12</v>
      </c>
      <c r="J16">
        <v>68020.399999999994</v>
      </c>
      <c r="K16" t="s">
        <v>35</v>
      </c>
      <c r="L16">
        <v>5314.5</v>
      </c>
    </row>
    <row r="17" spans="1:12" x14ac:dyDescent="0.2">
      <c r="A17" t="s">
        <v>152</v>
      </c>
      <c r="B17" t="s">
        <v>135</v>
      </c>
      <c r="C17" t="s">
        <v>71</v>
      </c>
      <c r="D17" t="s">
        <v>136</v>
      </c>
      <c r="E17">
        <v>330</v>
      </c>
      <c r="F17">
        <v>475</v>
      </c>
      <c r="G17">
        <v>69.5</v>
      </c>
      <c r="H17">
        <v>195.57</v>
      </c>
      <c r="I17">
        <v>195.57</v>
      </c>
      <c r="J17">
        <v>64538.1</v>
      </c>
      <c r="K17" t="s">
        <v>35</v>
      </c>
      <c r="L17">
        <v>2603.1999999999998</v>
      </c>
    </row>
    <row r="18" spans="1:12" x14ac:dyDescent="0.2">
      <c r="A18" t="s">
        <v>153</v>
      </c>
      <c r="B18" t="s">
        <v>135</v>
      </c>
      <c r="C18" t="s">
        <v>60</v>
      </c>
      <c r="D18" t="s">
        <v>136</v>
      </c>
      <c r="E18">
        <v>463</v>
      </c>
      <c r="F18">
        <v>722</v>
      </c>
      <c r="G18">
        <v>64.099999999999994</v>
      </c>
      <c r="H18">
        <v>235.89</v>
      </c>
      <c r="I18">
        <v>235.89</v>
      </c>
      <c r="J18">
        <v>109217.07</v>
      </c>
      <c r="K18" t="s">
        <v>35</v>
      </c>
      <c r="L18">
        <v>3164.1</v>
      </c>
    </row>
    <row r="19" spans="1:12" x14ac:dyDescent="0.2">
      <c r="A19" t="s">
        <v>154</v>
      </c>
      <c r="B19" t="s">
        <v>52</v>
      </c>
      <c r="C19" t="s">
        <v>44</v>
      </c>
      <c r="D19" t="s">
        <v>136</v>
      </c>
      <c r="E19">
        <v>536</v>
      </c>
      <c r="F19">
        <v>573</v>
      </c>
      <c r="G19">
        <v>93.5</v>
      </c>
      <c r="H19">
        <v>840.9</v>
      </c>
      <c r="I19">
        <v>958.62599999999998</v>
      </c>
      <c r="J19">
        <v>513823.54</v>
      </c>
      <c r="K19" t="s">
        <v>35</v>
      </c>
      <c r="L19">
        <v>10433.700000000001</v>
      </c>
    </row>
    <row r="20" spans="1:12" x14ac:dyDescent="0.2">
      <c r="A20" t="s">
        <v>61</v>
      </c>
      <c r="B20" t="s">
        <v>44</v>
      </c>
      <c r="C20" t="s">
        <v>62</v>
      </c>
      <c r="D20" t="s">
        <v>136</v>
      </c>
      <c r="E20">
        <v>101</v>
      </c>
      <c r="F20">
        <v>770</v>
      </c>
      <c r="G20">
        <v>13.1</v>
      </c>
      <c r="H20">
        <v>108.5</v>
      </c>
      <c r="I20">
        <v>108.5</v>
      </c>
      <c r="J20">
        <v>10958.5</v>
      </c>
      <c r="K20" t="s">
        <v>35</v>
      </c>
      <c r="L20">
        <v>1516</v>
      </c>
    </row>
    <row r="21" spans="1:12" x14ac:dyDescent="0.2">
      <c r="A21" t="s">
        <v>63</v>
      </c>
      <c r="B21" t="s">
        <v>44</v>
      </c>
      <c r="C21" t="s">
        <v>54</v>
      </c>
      <c r="D21" t="s">
        <v>136</v>
      </c>
      <c r="E21">
        <v>435</v>
      </c>
      <c r="F21">
        <v>698</v>
      </c>
      <c r="G21">
        <v>62.3</v>
      </c>
      <c r="H21">
        <v>55.5</v>
      </c>
      <c r="I21">
        <v>55.5</v>
      </c>
      <c r="J21">
        <v>24142.5</v>
      </c>
      <c r="K21" t="s">
        <v>35</v>
      </c>
      <c r="L21">
        <v>701.3</v>
      </c>
    </row>
    <row r="22" spans="1:12" x14ac:dyDescent="0.2">
      <c r="A22" t="s">
        <v>72</v>
      </c>
      <c r="B22" t="s">
        <v>54</v>
      </c>
      <c r="C22" t="s">
        <v>73</v>
      </c>
      <c r="D22" t="s">
        <v>136</v>
      </c>
      <c r="E22">
        <v>75</v>
      </c>
      <c r="F22">
        <v>515</v>
      </c>
      <c r="G22">
        <v>14.6</v>
      </c>
      <c r="H22">
        <v>53.02</v>
      </c>
      <c r="I22">
        <v>53.02</v>
      </c>
      <c r="J22">
        <v>3976.5</v>
      </c>
      <c r="K22" t="s">
        <v>74</v>
      </c>
      <c r="L22">
        <v>550</v>
      </c>
    </row>
    <row r="23" spans="1:12" x14ac:dyDescent="0.2">
      <c r="A23" t="s">
        <v>155</v>
      </c>
      <c r="B23" t="s">
        <v>71</v>
      </c>
      <c r="C23" t="s">
        <v>76</v>
      </c>
      <c r="D23" t="s">
        <v>136</v>
      </c>
      <c r="E23">
        <v>99</v>
      </c>
      <c r="F23">
        <v>1049</v>
      </c>
      <c r="G23">
        <v>9.4</v>
      </c>
      <c r="H23">
        <v>939.92</v>
      </c>
      <c r="I23">
        <v>1071.5088000000001</v>
      </c>
      <c r="J23">
        <v>106079.37</v>
      </c>
      <c r="K23" t="s">
        <v>35</v>
      </c>
      <c r="L23">
        <v>11639.4</v>
      </c>
    </row>
    <row r="24" spans="1:12" x14ac:dyDescent="0.2">
      <c r="A24" t="s">
        <v>77</v>
      </c>
      <c r="B24" t="s">
        <v>54</v>
      </c>
      <c r="C24" t="s">
        <v>78</v>
      </c>
      <c r="D24" t="s">
        <v>136</v>
      </c>
      <c r="E24">
        <v>94</v>
      </c>
      <c r="F24">
        <v>758</v>
      </c>
      <c r="G24">
        <v>12.4</v>
      </c>
      <c r="H24">
        <v>254.79</v>
      </c>
      <c r="I24">
        <v>254.79</v>
      </c>
      <c r="J24">
        <v>23950.26</v>
      </c>
      <c r="K24" t="s">
        <v>35</v>
      </c>
      <c r="L24">
        <v>3325.3</v>
      </c>
    </row>
    <row r="25" spans="1:12" x14ac:dyDescent="0.2">
      <c r="A25" t="s">
        <v>79</v>
      </c>
      <c r="B25" t="s">
        <v>56</v>
      </c>
      <c r="C25" t="s">
        <v>80</v>
      </c>
      <c r="D25" t="s">
        <v>136</v>
      </c>
      <c r="E25">
        <v>97</v>
      </c>
      <c r="F25">
        <v>546</v>
      </c>
      <c r="G25">
        <v>17.8</v>
      </c>
      <c r="H25">
        <v>37.450000000000003</v>
      </c>
      <c r="I25">
        <v>37.450000000000003</v>
      </c>
      <c r="J25">
        <v>3632.65</v>
      </c>
      <c r="K25" t="s">
        <v>74</v>
      </c>
      <c r="L25">
        <v>402.8</v>
      </c>
    </row>
    <row r="26" spans="1:12" x14ac:dyDescent="0.2">
      <c r="A26" t="s">
        <v>81</v>
      </c>
      <c r="B26" t="s">
        <v>54</v>
      </c>
      <c r="C26" t="s">
        <v>82</v>
      </c>
      <c r="D26" t="s">
        <v>136</v>
      </c>
      <c r="E26">
        <v>78</v>
      </c>
      <c r="F26">
        <v>645</v>
      </c>
      <c r="G26">
        <v>12.1</v>
      </c>
      <c r="H26">
        <v>105</v>
      </c>
      <c r="I26">
        <v>105</v>
      </c>
      <c r="J26">
        <v>8190</v>
      </c>
      <c r="K26" t="s">
        <v>74</v>
      </c>
      <c r="L26">
        <v>1183</v>
      </c>
    </row>
    <row r="27" spans="1:12" x14ac:dyDescent="0.2">
      <c r="A27" t="s">
        <v>83</v>
      </c>
      <c r="B27" t="s">
        <v>62</v>
      </c>
      <c r="C27" t="s">
        <v>84</v>
      </c>
      <c r="D27" t="s">
        <v>136</v>
      </c>
      <c r="E27">
        <v>101</v>
      </c>
      <c r="F27">
        <v>549</v>
      </c>
      <c r="G27">
        <v>18.399999999999999</v>
      </c>
      <c r="H27">
        <v>35.49</v>
      </c>
      <c r="I27">
        <v>35.49</v>
      </c>
      <c r="J27">
        <v>3584.49</v>
      </c>
      <c r="K27" t="s">
        <v>74</v>
      </c>
      <c r="L27">
        <v>362.3</v>
      </c>
    </row>
    <row r="28" spans="1:12" x14ac:dyDescent="0.2">
      <c r="A28" t="s">
        <v>85</v>
      </c>
      <c r="B28" t="s">
        <v>54</v>
      </c>
      <c r="C28" t="s">
        <v>86</v>
      </c>
      <c r="D28" t="s">
        <v>136</v>
      </c>
      <c r="E28">
        <v>105</v>
      </c>
      <c r="F28">
        <v>1038</v>
      </c>
      <c r="G28">
        <v>10.1</v>
      </c>
      <c r="H28">
        <v>256.25</v>
      </c>
      <c r="I28">
        <v>256.25</v>
      </c>
      <c r="J28">
        <v>26906.25</v>
      </c>
      <c r="K28" t="s">
        <v>35</v>
      </c>
      <c r="L28">
        <v>3359.3</v>
      </c>
    </row>
    <row r="29" spans="1:12" x14ac:dyDescent="0.2">
      <c r="A29" t="s">
        <v>156</v>
      </c>
      <c r="B29" t="s">
        <v>54</v>
      </c>
      <c r="C29" t="s">
        <v>88</v>
      </c>
      <c r="D29" t="s">
        <v>136</v>
      </c>
      <c r="E29">
        <v>83</v>
      </c>
      <c r="F29">
        <v>555</v>
      </c>
      <c r="G29">
        <v>15</v>
      </c>
      <c r="H29">
        <v>270.02</v>
      </c>
      <c r="I29">
        <v>270.02</v>
      </c>
      <c r="J29">
        <v>22411.66</v>
      </c>
      <c r="K29" t="s">
        <v>74</v>
      </c>
      <c r="L29">
        <v>2711.1</v>
      </c>
    </row>
    <row r="30" spans="1:12" x14ac:dyDescent="0.2">
      <c r="A30" t="s">
        <v>89</v>
      </c>
      <c r="B30" t="s">
        <v>46</v>
      </c>
      <c r="C30" t="s">
        <v>90</v>
      </c>
      <c r="D30" t="s">
        <v>136</v>
      </c>
      <c r="E30">
        <v>86</v>
      </c>
      <c r="F30">
        <v>1199</v>
      </c>
      <c r="G30">
        <v>7.2</v>
      </c>
      <c r="H30">
        <v>34.29</v>
      </c>
      <c r="I30">
        <v>34.29</v>
      </c>
      <c r="J30">
        <v>2948.94</v>
      </c>
      <c r="K30" t="s">
        <v>74</v>
      </c>
      <c r="L30">
        <v>372.2</v>
      </c>
    </row>
    <row r="31" spans="1:12" x14ac:dyDescent="0.2">
      <c r="A31" t="s">
        <v>157</v>
      </c>
      <c r="B31" t="s">
        <v>50</v>
      </c>
      <c r="C31" t="s">
        <v>92</v>
      </c>
      <c r="D31" t="s">
        <v>136</v>
      </c>
      <c r="E31">
        <v>67</v>
      </c>
      <c r="F31">
        <v>785</v>
      </c>
      <c r="G31">
        <v>8.5</v>
      </c>
      <c r="H31">
        <v>52.57</v>
      </c>
      <c r="I31">
        <v>52.57</v>
      </c>
      <c r="J31">
        <v>3522.19</v>
      </c>
      <c r="K31" t="s">
        <v>74</v>
      </c>
      <c r="L31">
        <v>517.4</v>
      </c>
    </row>
    <row r="32" spans="1:12" x14ac:dyDescent="0.2">
      <c r="A32" t="s">
        <v>158</v>
      </c>
      <c r="B32" t="s">
        <v>50</v>
      </c>
      <c r="C32" t="s">
        <v>94</v>
      </c>
      <c r="D32" t="s">
        <v>136</v>
      </c>
      <c r="E32">
        <v>77</v>
      </c>
      <c r="F32">
        <v>710</v>
      </c>
      <c r="G32">
        <v>10.8</v>
      </c>
      <c r="H32">
        <v>109.93</v>
      </c>
      <c r="I32">
        <v>109.93</v>
      </c>
      <c r="J32">
        <v>8464.61</v>
      </c>
      <c r="K32" t="s">
        <v>74</v>
      </c>
      <c r="L32">
        <v>1144.0999999999999</v>
      </c>
    </row>
    <row r="33" spans="1:12" x14ac:dyDescent="0.2">
      <c r="A33" t="s">
        <v>95</v>
      </c>
      <c r="B33" t="s">
        <v>46</v>
      </c>
      <c r="C33" t="s">
        <v>96</v>
      </c>
      <c r="D33" t="s">
        <v>136</v>
      </c>
      <c r="E33">
        <v>84</v>
      </c>
      <c r="F33">
        <v>470</v>
      </c>
      <c r="G33">
        <v>17.899999999999999</v>
      </c>
      <c r="H33">
        <v>5.88</v>
      </c>
      <c r="I33">
        <v>5.88</v>
      </c>
      <c r="J33">
        <v>493.92</v>
      </c>
      <c r="K33" t="s">
        <v>74</v>
      </c>
      <c r="L33">
        <v>57.7</v>
      </c>
    </row>
    <row r="34" spans="1:12" x14ac:dyDescent="0.2">
      <c r="A34" t="s">
        <v>97</v>
      </c>
      <c r="B34" t="s">
        <v>46</v>
      </c>
      <c r="C34" t="s">
        <v>98</v>
      </c>
      <c r="D34" t="s">
        <v>136</v>
      </c>
      <c r="E34">
        <v>85</v>
      </c>
      <c r="F34">
        <v>510</v>
      </c>
      <c r="G34">
        <v>16.7</v>
      </c>
      <c r="H34">
        <v>11.21</v>
      </c>
      <c r="I34">
        <v>11.21</v>
      </c>
      <c r="J34">
        <v>952.85</v>
      </c>
      <c r="K34" t="s">
        <v>74</v>
      </c>
      <c r="L34">
        <v>119.3</v>
      </c>
    </row>
    <row r="35" spans="1:12" x14ac:dyDescent="0.2">
      <c r="A35" t="s">
        <v>159</v>
      </c>
      <c r="B35" t="s">
        <v>58</v>
      </c>
      <c r="C35" t="s">
        <v>100</v>
      </c>
      <c r="D35" t="s">
        <v>136</v>
      </c>
      <c r="E35">
        <v>72</v>
      </c>
      <c r="F35">
        <v>1039</v>
      </c>
      <c r="G35">
        <v>6.9</v>
      </c>
      <c r="H35">
        <v>469.38</v>
      </c>
      <c r="I35">
        <v>516.31799999999998</v>
      </c>
      <c r="J35">
        <v>37174.9</v>
      </c>
      <c r="K35" t="s">
        <v>35</v>
      </c>
      <c r="L35">
        <v>5977.3</v>
      </c>
    </row>
    <row r="36" spans="1:12" x14ac:dyDescent="0.2">
      <c r="A36" t="s">
        <v>101</v>
      </c>
      <c r="B36" t="s">
        <v>50</v>
      </c>
      <c r="C36" t="s">
        <v>102</v>
      </c>
      <c r="D36" t="s">
        <v>136</v>
      </c>
      <c r="E36">
        <v>69</v>
      </c>
      <c r="F36">
        <v>746</v>
      </c>
      <c r="G36">
        <v>9.1999999999999993</v>
      </c>
      <c r="H36">
        <v>77.47</v>
      </c>
      <c r="I36">
        <v>77.47</v>
      </c>
      <c r="J36">
        <v>5345.43</v>
      </c>
      <c r="K36" t="s">
        <v>74</v>
      </c>
      <c r="L36">
        <v>810.4</v>
      </c>
    </row>
    <row r="37" spans="1:12" x14ac:dyDescent="0.2">
      <c r="A37" t="s">
        <v>103</v>
      </c>
      <c r="B37" t="s">
        <v>48</v>
      </c>
      <c r="C37" t="s">
        <v>104</v>
      </c>
      <c r="D37" t="s">
        <v>136</v>
      </c>
      <c r="E37">
        <v>81</v>
      </c>
      <c r="F37">
        <v>1087</v>
      </c>
      <c r="G37">
        <v>7.5</v>
      </c>
      <c r="H37">
        <v>50.92</v>
      </c>
      <c r="I37">
        <v>50.92</v>
      </c>
      <c r="J37">
        <v>4124.5200000000004</v>
      </c>
      <c r="K37" t="s">
        <v>74</v>
      </c>
      <c r="L37">
        <v>504.9</v>
      </c>
    </row>
    <row r="38" spans="1:12" x14ac:dyDescent="0.2">
      <c r="A38" t="s">
        <v>105</v>
      </c>
      <c r="B38" t="s">
        <v>67</v>
      </c>
      <c r="C38" t="s">
        <v>106</v>
      </c>
      <c r="D38" t="s">
        <v>136</v>
      </c>
      <c r="E38">
        <v>6</v>
      </c>
      <c r="F38">
        <v>773</v>
      </c>
      <c r="G38">
        <v>0.8</v>
      </c>
      <c r="H38">
        <v>192.32</v>
      </c>
      <c r="I38">
        <v>192.32</v>
      </c>
      <c r="J38">
        <v>1153.92</v>
      </c>
      <c r="K38" t="s">
        <v>74</v>
      </c>
      <c r="L38">
        <v>1933.6</v>
      </c>
    </row>
    <row r="39" spans="1:12" x14ac:dyDescent="0.2">
      <c r="A39" t="s">
        <v>107</v>
      </c>
      <c r="B39" t="s">
        <v>67</v>
      </c>
      <c r="C39" t="s">
        <v>108</v>
      </c>
      <c r="D39" t="s">
        <v>136</v>
      </c>
      <c r="E39">
        <v>8</v>
      </c>
      <c r="F39">
        <v>669</v>
      </c>
      <c r="G39">
        <v>1.2</v>
      </c>
      <c r="H39">
        <v>286.08</v>
      </c>
      <c r="I39">
        <v>286.08</v>
      </c>
      <c r="J39">
        <v>2288.64</v>
      </c>
      <c r="K39" t="s">
        <v>74</v>
      </c>
      <c r="L39">
        <v>2853.9</v>
      </c>
    </row>
    <row r="40" spans="1:12" x14ac:dyDescent="0.2">
      <c r="A40" t="s">
        <v>109</v>
      </c>
      <c r="B40" t="s">
        <v>67</v>
      </c>
      <c r="C40" t="s">
        <v>110</v>
      </c>
      <c r="D40" t="s">
        <v>136</v>
      </c>
      <c r="E40">
        <v>14</v>
      </c>
      <c r="F40">
        <v>1172</v>
      </c>
      <c r="G40">
        <v>1.2</v>
      </c>
      <c r="H40">
        <v>250.24</v>
      </c>
      <c r="I40">
        <v>250.24</v>
      </c>
      <c r="J40">
        <v>3503.36</v>
      </c>
      <c r="K40" t="s">
        <v>74</v>
      </c>
      <c r="L40">
        <v>2557.6999999999998</v>
      </c>
    </row>
    <row r="41" spans="1:12" x14ac:dyDescent="0.2">
      <c r="A41" t="s">
        <v>111</v>
      </c>
      <c r="B41" t="s">
        <v>67</v>
      </c>
      <c r="C41" t="s">
        <v>112</v>
      </c>
      <c r="D41" t="s">
        <v>136</v>
      </c>
      <c r="E41">
        <v>23</v>
      </c>
      <c r="F41">
        <v>1067</v>
      </c>
      <c r="G41">
        <v>2.2000000000000002</v>
      </c>
      <c r="H41">
        <v>221.96</v>
      </c>
      <c r="I41">
        <v>221.96</v>
      </c>
      <c r="J41">
        <v>5105.08</v>
      </c>
      <c r="K41" t="s">
        <v>35</v>
      </c>
      <c r="L41">
        <v>3134.3</v>
      </c>
    </row>
    <row r="42" spans="1:12" x14ac:dyDescent="0.2">
      <c r="A42" t="s">
        <v>113</v>
      </c>
      <c r="B42" t="s">
        <v>48</v>
      </c>
      <c r="C42" t="s">
        <v>114</v>
      </c>
      <c r="D42" t="s">
        <v>136</v>
      </c>
      <c r="E42">
        <v>25</v>
      </c>
      <c r="F42">
        <v>585</v>
      </c>
      <c r="G42">
        <v>4.3</v>
      </c>
      <c r="H42">
        <v>497.2</v>
      </c>
      <c r="I42">
        <v>551.89200000000005</v>
      </c>
      <c r="J42">
        <v>13797.3</v>
      </c>
      <c r="K42" t="s">
        <v>35</v>
      </c>
      <c r="L42">
        <v>6265.8</v>
      </c>
    </row>
    <row r="43" spans="1:12" x14ac:dyDescent="0.2">
      <c r="A43" t="s">
        <v>115</v>
      </c>
      <c r="B43" t="s">
        <v>69</v>
      </c>
      <c r="C43" t="s">
        <v>116</v>
      </c>
      <c r="D43" t="s">
        <v>136</v>
      </c>
      <c r="E43">
        <v>139</v>
      </c>
      <c r="F43">
        <v>983</v>
      </c>
      <c r="G43">
        <v>14.1</v>
      </c>
      <c r="H43">
        <v>0.11</v>
      </c>
      <c r="I43">
        <v>0.11</v>
      </c>
      <c r="J43">
        <v>15.29</v>
      </c>
      <c r="K43" t="s">
        <v>74</v>
      </c>
      <c r="L43">
        <v>1.1000000000000001</v>
      </c>
    </row>
    <row r="44" spans="1:12" x14ac:dyDescent="0.2">
      <c r="A44" t="s">
        <v>117</v>
      </c>
      <c r="B44" t="s">
        <v>52</v>
      </c>
      <c r="C44" t="s">
        <v>118</v>
      </c>
      <c r="D44" t="s">
        <v>136</v>
      </c>
      <c r="E44">
        <v>109</v>
      </c>
      <c r="F44">
        <v>868</v>
      </c>
      <c r="G44">
        <v>12.6</v>
      </c>
      <c r="H44">
        <v>0</v>
      </c>
      <c r="I44">
        <v>0</v>
      </c>
      <c r="J44">
        <v>0</v>
      </c>
      <c r="K44" t="s">
        <v>74</v>
      </c>
      <c r="L44">
        <v>0</v>
      </c>
    </row>
    <row r="45" spans="1:12" x14ac:dyDescent="0.2">
      <c r="A45" t="s">
        <v>119</v>
      </c>
      <c r="B45" t="s">
        <v>52</v>
      </c>
      <c r="C45" t="s">
        <v>120</v>
      </c>
      <c r="D45" t="s">
        <v>136</v>
      </c>
      <c r="E45">
        <v>98</v>
      </c>
      <c r="F45">
        <v>389</v>
      </c>
      <c r="G45">
        <v>25.2</v>
      </c>
      <c r="H45">
        <v>13.08</v>
      </c>
      <c r="I45">
        <v>13.08</v>
      </c>
      <c r="J45">
        <v>1281.8399999999999</v>
      </c>
      <c r="K45" t="s">
        <v>74</v>
      </c>
      <c r="L45">
        <v>139.6</v>
      </c>
    </row>
    <row r="46" spans="1:12" x14ac:dyDescent="0.2">
      <c r="A46" t="s">
        <v>160</v>
      </c>
      <c r="B46" t="s">
        <v>71</v>
      </c>
      <c r="C46" t="s">
        <v>122</v>
      </c>
      <c r="D46" t="s">
        <v>136</v>
      </c>
      <c r="E46">
        <v>142</v>
      </c>
      <c r="F46">
        <v>564</v>
      </c>
      <c r="G46">
        <v>25.2</v>
      </c>
      <c r="H46">
        <v>184.25</v>
      </c>
      <c r="I46">
        <v>184.25</v>
      </c>
      <c r="J46">
        <v>26163.5</v>
      </c>
      <c r="K46" t="s">
        <v>74</v>
      </c>
      <c r="L46">
        <v>2015.3</v>
      </c>
    </row>
    <row r="47" spans="1:12" x14ac:dyDescent="0.2">
      <c r="A47" t="s">
        <v>161</v>
      </c>
      <c r="B47" t="s">
        <v>69</v>
      </c>
      <c r="C47" t="s">
        <v>124</v>
      </c>
      <c r="D47" t="s">
        <v>136</v>
      </c>
      <c r="E47">
        <v>31</v>
      </c>
      <c r="F47">
        <v>1013</v>
      </c>
      <c r="G47">
        <v>3.1</v>
      </c>
      <c r="H47">
        <v>80.36</v>
      </c>
      <c r="I47">
        <v>80.36</v>
      </c>
      <c r="J47">
        <v>2491.16</v>
      </c>
      <c r="K47" t="s">
        <v>74</v>
      </c>
      <c r="L47">
        <v>832.9</v>
      </c>
    </row>
    <row r="48" spans="1:12" x14ac:dyDescent="0.2">
      <c r="A48" t="s">
        <v>123</v>
      </c>
      <c r="B48" t="s">
        <v>71</v>
      </c>
      <c r="C48" t="s">
        <v>124</v>
      </c>
      <c r="D48" t="s">
        <v>136</v>
      </c>
      <c r="E48">
        <v>89</v>
      </c>
      <c r="F48">
        <v>1084</v>
      </c>
      <c r="G48">
        <v>8.1999999999999993</v>
      </c>
      <c r="H48">
        <v>265.56</v>
      </c>
      <c r="I48">
        <v>265.56</v>
      </c>
      <c r="J48">
        <v>23634.84</v>
      </c>
      <c r="K48" t="s">
        <v>35</v>
      </c>
      <c r="L48">
        <v>3393.8</v>
      </c>
    </row>
    <row r="49" spans="1:12" x14ac:dyDescent="0.2">
      <c r="A49" t="s">
        <v>162</v>
      </c>
      <c r="B49" t="s">
        <v>60</v>
      </c>
      <c r="C49" t="s">
        <v>126</v>
      </c>
      <c r="D49" t="s">
        <v>136</v>
      </c>
      <c r="E49">
        <v>39</v>
      </c>
      <c r="F49">
        <v>1122</v>
      </c>
      <c r="G49">
        <v>3.5</v>
      </c>
      <c r="H49">
        <v>179.39</v>
      </c>
      <c r="I49">
        <v>179.39</v>
      </c>
      <c r="J49">
        <v>6996.21</v>
      </c>
      <c r="K49" t="s">
        <v>74</v>
      </c>
      <c r="L49">
        <v>1739.5</v>
      </c>
    </row>
    <row r="50" spans="1:12" x14ac:dyDescent="0.2">
      <c r="A50" t="s">
        <v>127</v>
      </c>
      <c r="B50" t="s">
        <v>58</v>
      </c>
      <c r="C50" t="s">
        <v>128</v>
      </c>
      <c r="D50" t="s">
        <v>136</v>
      </c>
      <c r="E50">
        <v>46</v>
      </c>
      <c r="F50">
        <v>429</v>
      </c>
      <c r="G50">
        <v>10.7</v>
      </c>
      <c r="H50">
        <v>0</v>
      </c>
      <c r="I50">
        <v>0</v>
      </c>
      <c r="J50">
        <v>0</v>
      </c>
      <c r="K50" t="s">
        <v>74</v>
      </c>
      <c r="L50">
        <v>0</v>
      </c>
    </row>
    <row r="51" spans="1:12" x14ac:dyDescent="0.2">
      <c r="A51" t="s">
        <v>129</v>
      </c>
      <c r="B51" t="s">
        <v>60</v>
      </c>
      <c r="C51" t="s">
        <v>130</v>
      </c>
      <c r="D51" t="s">
        <v>136</v>
      </c>
      <c r="E51">
        <v>51</v>
      </c>
      <c r="F51">
        <v>1024</v>
      </c>
      <c r="G51">
        <v>5</v>
      </c>
      <c r="H51">
        <v>0</v>
      </c>
      <c r="I51">
        <v>0</v>
      </c>
      <c r="J51">
        <v>0</v>
      </c>
      <c r="K51" t="s">
        <v>74</v>
      </c>
      <c r="L51">
        <v>0</v>
      </c>
    </row>
    <row r="52" spans="1:12" x14ac:dyDescent="0.2">
      <c r="A52" t="s">
        <v>163</v>
      </c>
      <c r="B52" t="s">
        <v>149</v>
      </c>
      <c r="C52" t="s">
        <v>132</v>
      </c>
      <c r="D52" t="s">
        <v>136</v>
      </c>
      <c r="E52">
        <v>49</v>
      </c>
      <c r="F52">
        <v>611</v>
      </c>
      <c r="G52">
        <v>8</v>
      </c>
      <c r="H52">
        <v>120.15</v>
      </c>
      <c r="I52">
        <v>120.15</v>
      </c>
      <c r="J52">
        <v>5887.35</v>
      </c>
      <c r="K52" t="s">
        <v>74</v>
      </c>
      <c r="L52">
        <v>1358.2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2"/>
  <sheetViews>
    <sheetView topLeftCell="F1" zoomScale="182" workbookViewId="0">
      <selection activeCell="R12" sqref="R12"/>
    </sheetView>
  </sheetViews>
  <sheetFormatPr baseColWidth="10" defaultColWidth="8.83203125" defaultRowHeight="15" x14ac:dyDescent="0.2"/>
  <sheetData>
    <row r="1" spans="1:18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8" x14ac:dyDescent="0.2">
      <c r="A2" t="s">
        <v>164</v>
      </c>
      <c r="B2" t="s">
        <v>165</v>
      </c>
      <c r="C2" t="s">
        <v>42</v>
      </c>
      <c r="D2" t="s">
        <v>166</v>
      </c>
      <c r="E2">
        <v>631</v>
      </c>
      <c r="F2">
        <v>847</v>
      </c>
      <c r="G2">
        <v>74.5</v>
      </c>
      <c r="H2">
        <v>112.71</v>
      </c>
      <c r="I2">
        <v>112.71</v>
      </c>
      <c r="J2">
        <v>71120.009999999995</v>
      </c>
      <c r="K2" t="s">
        <v>35</v>
      </c>
      <c r="L2">
        <v>2419.1999999999998</v>
      </c>
      <c r="N2" t="s">
        <v>225</v>
      </c>
      <c r="O2">
        <f>SUM(J2:J52)</f>
        <v>960176.34000000008</v>
      </c>
    </row>
    <row r="3" spans="1:18" x14ac:dyDescent="0.2">
      <c r="A3" t="s">
        <v>167</v>
      </c>
      <c r="B3" t="s">
        <v>168</v>
      </c>
      <c r="C3" t="s">
        <v>37</v>
      </c>
      <c r="D3" t="s">
        <v>166</v>
      </c>
      <c r="E3">
        <v>631</v>
      </c>
      <c r="F3">
        <v>973</v>
      </c>
      <c r="G3">
        <v>64.900000000000006</v>
      </c>
      <c r="H3">
        <v>233.69</v>
      </c>
      <c r="I3">
        <v>233.69</v>
      </c>
      <c r="J3">
        <v>147458.39000000001</v>
      </c>
      <c r="K3" t="s">
        <v>35</v>
      </c>
      <c r="L3">
        <v>5088.7</v>
      </c>
    </row>
    <row r="4" spans="1:18" x14ac:dyDescent="0.2">
      <c r="A4" t="s">
        <v>169</v>
      </c>
      <c r="B4" t="s">
        <v>170</v>
      </c>
      <c r="C4" t="s">
        <v>135</v>
      </c>
      <c r="D4" t="s">
        <v>166</v>
      </c>
      <c r="E4">
        <v>631</v>
      </c>
      <c r="F4">
        <v>1000</v>
      </c>
      <c r="G4">
        <v>63.1</v>
      </c>
      <c r="H4">
        <v>141.74</v>
      </c>
      <c r="I4">
        <v>141.74</v>
      </c>
      <c r="J4">
        <v>89437.94</v>
      </c>
      <c r="K4" t="s">
        <v>35</v>
      </c>
      <c r="L4">
        <v>3249.2</v>
      </c>
    </row>
    <row r="5" spans="1:18" x14ac:dyDescent="0.2">
      <c r="A5" t="s">
        <v>141</v>
      </c>
      <c r="B5" t="s">
        <v>37</v>
      </c>
      <c r="C5" t="s">
        <v>33</v>
      </c>
      <c r="D5" t="s">
        <v>166</v>
      </c>
      <c r="E5">
        <v>80</v>
      </c>
      <c r="F5">
        <v>1168</v>
      </c>
      <c r="G5">
        <v>6.8</v>
      </c>
      <c r="H5">
        <v>239.82</v>
      </c>
      <c r="I5">
        <v>254.20920000000001</v>
      </c>
      <c r="J5">
        <v>20336.740000000002</v>
      </c>
      <c r="K5" t="s">
        <v>35</v>
      </c>
      <c r="L5">
        <v>4836.1000000000004</v>
      </c>
    </row>
    <row r="6" spans="1:18" x14ac:dyDescent="0.2">
      <c r="A6" t="s">
        <v>45</v>
      </c>
      <c r="B6" t="s">
        <v>33</v>
      </c>
      <c r="C6" t="s">
        <v>46</v>
      </c>
      <c r="D6" t="s">
        <v>166</v>
      </c>
      <c r="E6">
        <v>80</v>
      </c>
      <c r="F6">
        <v>686</v>
      </c>
      <c r="G6">
        <v>11.7</v>
      </c>
      <c r="H6">
        <v>16.64</v>
      </c>
      <c r="I6">
        <v>16.64</v>
      </c>
      <c r="J6">
        <v>1331.2</v>
      </c>
      <c r="K6" t="s">
        <v>35</v>
      </c>
      <c r="L6">
        <v>356</v>
      </c>
      <c r="O6" t="s">
        <v>227</v>
      </c>
      <c r="P6" t="s">
        <v>228</v>
      </c>
      <c r="Q6" t="s">
        <v>229</v>
      </c>
      <c r="R6" t="s">
        <v>230</v>
      </c>
    </row>
    <row r="7" spans="1:18" x14ac:dyDescent="0.2">
      <c r="A7" t="s">
        <v>171</v>
      </c>
      <c r="B7" t="s">
        <v>37</v>
      </c>
      <c r="C7" t="s">
        <v>46</v>
      </c>
      <c r="D7" t="s">
        <v>166</v>
      </c>
      <c r="E7">
        <v>143</v>
      </c>
      <c r="F7">
        <v>1066</v>
      </c>
      <c r="G7">
        <v>13.4</v>
      </c>
      <c r="H7">
        <v>255.53</v>
      </c>
      <c r="I7">
        <v>270.86180000000002</v>
      </c>
      <c r="J7">
        <v>38733.24</v>
      </c>
      <c r="K7" t="s">
        <v>35</v>
      </c>
      <c r="L7">
        <v>5174.2</v>
      </c>
      <c r="N7" t="s">
        <v>35</v>
      </c>
      <c r="O7">
        <f>COUNTIF(K2:K50,N7)</f>
        <v>26</v>
      </c>
      <c r="P7" s="2">
        <f>O7/$O$9</f>
        <v>0.53061224489795922</v>
      </c>
      <c r="Q7">
        <f>SUMIF($K$2:$K$52,N7,$J$2:$J$52)</f>
        <v>876437.54</v>
      </c>
      <c r="R7" s="2">
        <f>Q7/Q9</f>
        <v>0.91278810306865088</v>
      </c>
    </row>
    <row r="8" spans="1:18" x14ac:dyDescent="0.2">
      <c r="A8" t="s">
        <v>143</v>
      </c>
      <c r="B8" t="s">
        <v>37</v>
      </c>
      <c r="C8" t="s">
        <v>48</v>
      </c>
      <c r="D8" t="s">
        <v>166</v>
      </c>
      <c r="E8">
        <v>77</v>
      </c>
      <c r="F8">
        <v>491</v>
      </c>
      <c r="G8">
        <v>15.7</v>
      </c>
      <c r="H8">
        <v>266.16000000000003</v>
      </c>
      <c r="I8">
        <v>282.12959999999998</v>
      </c>
      <c r="J8">
        <v>21723.98</v>
      </c>
      <c r="K8" t="s">
        <v>35</v>
      </c>
      <c r="L8">
        <v>5655.8</v>
      </c>
      <c r="N8" t="s">
        <v>74</v>
      </c>
      <c r="O8">
        <f>COUNTIF(K2:K50,N8)</f>
        <v>23</v>
      </c>
      <c r="P8" s="2">
        <f>O8/$O$9</f>
        <v>0.46938775510204084</v>
      </c>
      <c r="Q8">
        <f>SUMIF($K$2:$K$52,N8,$J$2:$J$52)</f>
        <v>83738.8</v>
      </c>
      <c r="R8" s="2">
        <f>Q8/Q9</f>
        <v>8.7211896931349078E-2</v>
      </c>
    </row>
    <row r="9" spans="1:18" x14ac:dyDescent="0.2">
      <c r="A9" t="s">
        <v>144</v>
      </c>
      <c r="B9" t="s">
        <v>37</v>
      </c>
      <c r="C9" t="s">
        <v>50</v>
      </c>
      <c r="D9" t="s">
        <v>166</v>
      </c>
      <c r="E9">
        <v>280</v>
      </c>
      <c r="F9">
        <v>606</v>
      </c>
      <c r="G9">
        <v>46.2</v>
      </c>
      <c r="H9">
        <v>211.69</v>
      </c>
      <c r="I9">
        <v>224.3914</v>
      </c>
      <c r="J9">
        <v>62829.59</v>
      </c>
      <c r="K9" t="s">
        <v>35</v>
      </c>
      <c r="L9">
        <v>4156.6000000000004</v>
      </c>
      <c r="N9" t="s">
        <v>226</v>
      </c>
      <c r="O9">
        <f>SUM(O7:O8)</f>
        <v>49</v>
      </c>
      <c r="P9" s="2">
        <f>O9/$O$9</f>
        <v>1</v>
      </c>
      <c r="Q9" s="3">
        <f>SUM(Q7:Q8)</f>
        <v>960176.34000000008</v>
      </c>
      <c r="R9" s="2">
        <f>SUM(R7:R8)</f>
        <v>1</v>
      </c>
    </row>
    <row r="10" spans="1:18" x14ac:dyDescent="0.2">
      <c r="A10" t="s">
        <v>57</v>
      </c>
      <c r="B10" t="s">
        <v>37</v>
      </c>
      <c r="C10" t="s">
        <v>58</v>
      </c>
      <c r="D10" t="s">
        <v>166</v>
      </c>
      <c r="E10">
        <v>51</v>
      </c>
      <c r="F10">
        <v>931</v>
      </c>
      <c r="G10">
        <v>5.5</v>
      </c>
      <c r="H10">
        <v>95.99</v>
      </c>
      <c r="I10">
        <v>100.7895</v>
      </c>
      <c r="J10">
        <v>5140.26</v>
      </c>
      <c r="K10" t="s">
        <v>35</v>
      </c>
      <c r="L10">
        <v>1935.1</v>
      </c>
    </row>
    <row r="11" spans="1:18" x14ac:dyDescent="0.2">
      <c r="A11" t="s">
        <v>148</v>
      </c>
      <c r="B11" t="s">
        <v>135</v>
      </c>
      <c r="C11" t="s">
        <v>149</v>
      </c>
      <c r="D11" t="s">
        <v>166</v>
      </c>
      <c r="E11">
        <v>38</v>
      </c>
      <c r="F11">
        <v>736</v>
      </c>
      <c r="G11">
        <v>5.2</v>
      </c>
      <c r="H11">
        <v>122.57</v>
      </c>
      <c r="I11">
        <v>122.57</v>
      </c>
      <c r="J11">
        <v>4657.66</v>
      </c>
      <c r="K11" t="s">
        <v>35</v>
      </c>
      <c r="L11">
        <v>2902.4</v>
      </c>
    </row>
    <row r="12" spans="1:18" x14ac:dyDescent="0.2">
      <c r="A12" t="s">
        <v>150</v>
      </c>
      <c r="B12" t="s">
        <v>135</v>
      </c>
      <c r="C12" t="s">
        <v>52</v>
      </c>
      <c r="D12" t="s">
        <v>166</v>
      </c>
      <c r="E12">
        <v>299</v>
      </c>
      <c r="F12">
        <v>1179</v>
      </c>
      <c r="G12">
        <v>25.4</v>
      </c>
      <c r="H12">
        <v>237.76</v>
      </c>
      <c r="I12">
        <v>237.76</v>
      </c>
      <c r="J12">
        <v>71090.240000000005</v>
      </c>
      <c r="K12" t="s">
        <v>35</v>
      </c>
      <c r="L12">
        <v>4951</v>
      </c>
    </row>
    <row r="13" spans="1:18" x14ac:dyDescent="0.2">
      <c r="A13" t="s">
        <v>151</v>
      </c>
      <c r="B13" t="s">
        <v>135</v>
      </c>
      <c r="C13" t="s">
        <v>69</v>
      </c>
      <c r="D13" t="s">
        <v>166</v>
      </c>
      <c r="E13">
        <v>100</v>
      </c>
      <c r="F13">
        <v>555</v>
      </c>
      <c r="G13">
        <v>18</v>
      </c>
      <c r="H13">
        <v>235.16</v>
      </c>
      <c r="I13">
        <v>235.16</v>
      </c>
      <c r="J13">
        <v>23516</v>
      </c>
      <c r="K13" t="s">
        <v>35</v>
      </c>
      <c r="L13">
        <v>5314.5</v>
      </c>
    </row>
    <row r="14" spans="1:18" x14ac:dyDescent="0.2">
      <c r="A14" t="s">
        <v>152</v>
      </c>
      <c r="B14" t="s">
        <v>135</v>
      </c>
      <c r="C14" t="s">
        <v>71</v>
      </c>
      <c r="D14" t="s">
        <v>166</v>
      </c>
      <c r="E14">
        <v>145</v>
      </c>
      <c r="F14">
        <v>475</v>
      </c>
      <c r="G14">
        <v>30.5</v>
      </c>
      <c r="H14">
        <v>109.91</v>
      </c>
      <c r="I14">
        <v>109.91</v>
      </c>
      <c r="J14">
        <v>15936.95</v>
      </c>
      <c r="K14" t="s">
        <v>35</v>
      </c>
      <c r="L14">
        <v>2603.1999999999998</v>
      </c>
    </row>
    <row r="15" spans="1:18" x14ac:dyDescent="0.2">
      <c r="A15" t="s">
        <v>153</v>
      </c>
      <c r="B15" t="s">
        <v>135</v>
      </c>
      <c r="C15" t="s">
        <v>60</v>
      </c>
      <c r="D15" t="s">
        <v>166</v>
      </c>
      <c r="E15">
        <v>49</v>
      </c>
      <c r="F15">
        <v>722</v>
      </c>
      <c r="G15">
        <v>6.8</v>
      </c>
      <c r="H15">
        <v>143.62</v>
      </c>
      <c r="I15">
        <v>143.62</v>
      </c>
      <c r="J15">
        <v>7037.38</v>
      </c>
      <c r="K15" t="s">
        <v>35</v>
      </c>
      <c r="L15">
        <v>3164.1</v>
      </c>
    </row>
    <row r="16" spans="1:18" x14ac:dyDescent="0.2">
      <c r="A16" t="s">
        <v>172</v>
      </c>
      <c r="B16" t="s">
        <v>42</v>
      </c>
      <c r="C16" t="s">
        <v>62</v>
      </c>
      <c r="D16" t="s">
        <v>166</v>
      </c>
      <c r="E16">
        <v>207</v>
      </c>
      <c r="F16">
        <v>683</v>
      </c>
      <c r="G16">
        <v>30.3</v>
      </c>
      <c r="H16">
        <v>364.45</v>
      </c>
      <c r="I16">
        <v>379.02800000000002</v>
      </c>
      <c r="J16">
        <v>78458.8</v>
      </c>
      <c r="K16" t="s">
        <v>35</v>
      </c>
      <c r="L16">
        <v>7888.6</v>
      </c>
    </row>
    <row r="17" spans="1:12" x14ac:dyDescent="0.2">
      <c r="A17" t="s">
        <v>173</v>
      </c>
      <c r="B17" t="s">
        <v>42</v>
      </c>
      <c r="C17" t="s">
        <v>54</v>
      </c>
      <c r="D17" t="s">
        <v>166</v>
      </c>
      <c r="E17">
        <v>150</v>
      </c>
      <c r="F17">
        <v>883</v>
      </c>
      <c r="G17">
        <v>17</v>
      </c>
      <c r="H17">
        <v>353.45</v>
      </c>
      <c r="I17">
        <v>367.58800000000002</v>
      </c>
      <c r="J17">
        <v>55138.2</v>
      </c>
      <c r="K17" t="s">
        <v>35</v>
      </c>
      <c r="L17">
        <v>8185.7</v>
      </c>
    </row>
    <row r="18" spans="1:12" x14ac:dyDescent="0.2">
      <c r="A18" t="s">
        <v>174</v>
      </c>
      <c r="B18" t="s">
        <v>42</v>
      </c>
      <c r="C18" t="s">
        <v>56</v>
      </c>
      <c r="D18" t="s">
        <v>166</v>
      </c>
      <c r="E18">
        <v>45</v>
      </c>
      <c r="F18">
        <v>1044</v>
      </c>
      <c r="G18">
        <v>4.3</v>
      </c>
      <c r="H18">
        <v>365.48</v>
      </c>
      <c r="I18">
        <v>380.0992</v>
      </c>
      <c r="J18">
        <v>17104.46</v>
      </c>
      <c r="K18" t="s">
        <v>35</v>
      </c>
      <c r="L18">
        <v>8147.5</v>
      </c>
    </row>
    <row r="19" spans="1:12" x14ac:dyDescent="0.2">
      <c r="A19" t="s">
        <v>175</v>
      </c>
      <c r="B19" t="s">
        <v>42</v>
      </c>
      <c r="C19" t="s">
        <v>65</v>
      </c>
      <c r="D19" t="s">
        <v>166</v>
      </c>
      <c r="E19">
        <v>80</v>
      </c>
      <c r="F19">
        <v>449</v>
      </c>
      <c r="G19">
        <v>17.8</v>
      </c>
      <c r="H19">
        <v>374.05</v>
      </c>
      <c r="I19">
        <v>389.012</v>
      </c>
      <c r="J19">
        <v>31120.959999999999</v>
      </c>
      <c r="K19" t="s">
        <v>35</v>
      </c>
      <c r="L19">
        <v>7959.4</v>
      </c>
    </row>
    <row r="20" spans="1:12" x14ac:dyDescent="0.2">
      <c r="A20" t="s">
        <v>66</v>
      </c>
      <c r="B20" t="s">
        <v>42</v>
      </c>
      <c r="C20" t="s">
        <v>67</v>
      </c>
      <c r="D20" t="s">
        <v>166</v>
      </c>
      <c r="E20">
        <v>149</v>
      </c>
      <c r="F20">
        <v>974</v>
      </c>
      <c r="G20">
        <v>15.3</v>
      </c>
      <c r="H20">
        <v>123.74</v>
      </c>
      <c r="I20">
        <v>123.74</v>
      </c>
      <c r="J20">
        <v>18437.259999999998</v>
      </c>
      <c r="K20" t="s">
        <v>35</v>
      </c>
      <c r="L20">
        <v>2691.3</v>
      </c>
    </row>
    <row r="21" spans="1:12" x14ac:dyDescent="0.2">
      <c r="A21" t="s">
        <v>176</v>
      </c>
      <c r="B21" t="s">
        <v>48</v>
      </c>
      <c r="C21" t="s">
        <v>56</v>
      </c>
      <c r="D21" t="s">
        <v>166</v>
      </c>
      <c r="E21">
        <v>6</v>
      </c>
      <c r="F21">
        <v>336</v>
      </c>
      <c r="G21">
        <v>1.8</v>
      </c>
      <c r="H21">
        <v>279.68</v>
      </c>
      <c r="I21">
        <v>313.24160000000001</v>
      </c>
      <c r="J21">
        <v>1879.45</v>
      </c>
      <c r="K21" t="s">
        <v>35</v>
      </c>
      <c r="L21">
        <v>5532.1</v>
      </c>
    </row>
    <row r="22" spans="1:12" x14ac:dyDescent="0.2">
      <c r="A22" t="s">
        <v>72</v>
      </c>
      <c r="B22" t="s">
        <v>54</v>
      </c>
      <c r="C22" t="s">
        <v>73</v>
      </c>
      <c r="D22" t="s">
        <v>166</v>
      </c>
      <c r="E22">
        <v>60</v>
      </c>
      <c r="F22">
        <v>515</v>
      </c>
      <c r="G22">
        <v>11.7</v>
      </c>
      <c r="H22">
        <v>50.48</v>
      </c>
      <c r="I22">
        <v>50.48</v>
      </c>
      <c r="J22">
        <v>3028.8</v>
      </c>
      <c r="K22" t="s">
        <v>74</v>
      </c>
      <c r="L22">
        <v>550</v>
      </c>
    </row>
    <row r="23" spans="1:12" x14ac:dyDescent="0.2">
      <c r="A23" t="s">
        <v>155</v>
      </c>
      <c r="B23" t="s">
        <v>71</v>
      </c>
      <c r="C23" t="s">
        <v>76</v>
      </c>
      <c r="D23" t="s">
        <v>166</v>
      </c>
      <c r="E23">
        <v>76</v>
      </c>
      <c r="F23">
        <v>1049</v>
      </c>
      <c r="G23">
        <v>7.2</v>
      </c>
      <c r="H23">
        <v>565.05999999999995</v>
      </c>
      <c r="I23">
        <v>644.16840000000002</v>
      </c>
      <c r="J23">
        <v>48956.800000000003</v>
      </c>
      <c r="K23" t="s">
        <v>35</v>
      </c>
      <c r="L23">
        <v>11639.4</v>
      </c>
    </row>
    <row r="24" spans="1:12" x14ac:dyDescent="0.2">
      <c r="A24" t="s">
        <v>177</v>
      </c>
      <c r="B24" t="s">
        <v>62</v>
      </c>
      <c r="C24" t="s">
        <v>78</v>
      </c>
      <c r="D24" t="s">
        <v>166</v>
      </c>
      <c r="E24">
        <v>80</v>
      </c>
      <c r="F24">
        <v>749</v>
      </c>
      <c r="G24">
        <v>10.7</v>
      </c>
      <c r="H24">
        <v>133.46</v>
      </c>
      <c r="I24">
        <v>133.46</v>
      </c>
      <c r="J24">
        <v>10676.8</v>
      </c>
      <c r="K24" t="s">
        <v>35</v>
      </c>
      <c r="L24">
        <v>3040.6</v>
      </c>
    </row>
    <row r="25" spans="1:12" x14ac:dyDescent="0.2">
      <c r="A25" t="s">
        <v>79</v>
      </c>
      <c r="B25" t="s">
        <v>56</v>
      </c>
      <c r="C25" t="s">
        <v>80</v>
      </c>
      <c r="D25" t="s">
        <v>166</v>
      </c>
      <c r="E25">
        <v>51</v>
      </c>
      <c r="F25">
        <v>546</v>
      </c>
      <c r="G25">
        <v>9.3000000000000007</v>
      </c>
      <c r="H25">
        <v>35.64</v>
      </c>
      <c r="I25">
        <v>35.64</v>
      </c>
      <c r="J25">
        <v>1817.64</v>
      </c>
      <c r="K25" t="s">
        <v>74</v>
      </c>
      <c r="L25">
        <v>402.8</v>
      </c>
    </row>
    <row r="26" spans="1:12" x14ac:dyDescent="0.2">
      <c r="A26" t="s">
        <v>81</v>
      </c>
      <c r="B26" t="s">
        <v>54</v>
      </c>
      <c r="C26" t="s">
        <v>82</v>
      </c>
      <c r="D26" t="s">
        <v>166</v>
      </c>
      <c r="E26">
        <v>90</v>
      </c>
      <c r="F26">
        <v>645</v>
      </c>
      <c r="G26">
        <v>14</v>
      </c>
      <c r="H26">
        <v>96.53</v>
      </c>
      <c r="I26">
        <v>96.53</v>
      </c>
      <c r="J26">
        <v>8687.7000000000007</v>
      </c>
      <c r="K26" t="s">
        <v>74</v>
      </c>
      <c r="L26">
        <v>1183</v>
      </c>
    </row>
    <row r="27" spans="1:12" x14ac:dyDescent="0.2">
      <c r="A27" t="s">
        <v>83</v>
      </c>
      <c r="B27" t="s">
        <v>62</v>
      </c>
      <c r="C27" t="s">
        <v>84</v>
      </c>
      <c r="D27" t="s">
        <v>166</v>
      </c>
      <c r="E27">
        <v>54</v>
      </c>
      <c r="F27">
        <v>549</v>
      </c>
      <c r="G27">
        <v>9.8000000000000007</v>
      </c>
      <c r="H27">
        <v>30.81</v>
      </c>
      <c r="I27">
        <v>30.81</v>
      </c>
      <c r="J27">
        <v>1663.74</v>
      </c>
      <c r="K27" t="s">
        <v>74</v>
      </c>
      <c r="L27">
        <v>362.3</v>
      </c>
    </row>
    <row r="28" spans="1:12" x14ac:dyDescent="0.2">
      <c r="A28" t="s">
        <v>178</v>
      </c>
      <c r="B28" t="s">
        <v>62</v>
      </c>
      <c r="C28" t="s">
        <v>86</v>
      </c>
      <c r="D28" t="s">
        <v>166</v>
      </c>
      <c r="E28">
        <v>73</v>
      </c>
      <c r="F28">
        <v>1141</v>
      </c>
      <c r="G28">
        <v>6.4</v>
      </c>
      <c r="H28">
        <v>133.66</v>
      </c>
      <c r="I28">
        <v>133.66</v>
      </c>
      <c r="J28">
        <v>9757.18</v>
      </c>
      <c r="K28" t="s">
        <v>35</v>
      </c>
      <c r="L28">
        <v>3188</v>
      </c>
    </row>
    <row r="29" spans="1:12" x14ac:dyDescent="0.2">
      <c r="A29" t="s">
        <v>87</v>
      </c>
      <c r="B29" t="s">
        <v>65</v>
      </c>
      <c r="C29" t="s">
        <v>88</v>
      </c>
      <c r="D29" t="s">
        <v>166</v>
      </c>
      <c r="E29">
        <v>80</v>
      </c>
      <c r="F29">
        <v>828</v>
      </c>
      <c r="G29">
        <v>9.6999999999999993</v>
      </c>
      <c r="H29">
        <v>136.63</v>
      </c>
      <c r="I29">
        <v>136.63</v>
      </c>
      <c r="J29">
        <v>10930.4</v>
      </c>
      <c r="K29" t="s">
        <v>35</v>
      </c>
      <c r="L29">
        <v>3052.5</v>
      </c>
    </row>
    <row r="30" spans="1:12" x14ac:dyDescent="0.2">
      <c r="A30" t="s">
        <v>89</v>
      </c>
      <c r="B30" t="s">
        <v>46</v>
      </c>
      <c r="C30" t="s">
        <v>90</v>
      </c>
      <c r="D30" t="s">
        <v>166</v>
      </c>
      <c r="E30">
        <v>66</v>
      </c>
      <c r="F30">
        <v>1199</v>
      </c>
      <c r="G30">
        <v>5.5</v>
      </c>
      <c r="H30">
        <v>30.64</v>
      </c>
      <c r="I30">
        <v>30.64</v>
      </c>
      <c r="J30">
        <v>2022.24</v>
      </c>
      <c r="K30" t="s">
        <v>74</v>
      </c>
      <c r="L30">
        <v>372.2</v>
      </c>
    </row>
    <row r="31" spans="1:12" x14ac:dyDescent="0.2">
      <c r="A31" t="s">
        <v>157</v>
      </c>
      <c r="B31" t="s">
        <v>50</v>
      </c>
      <c r="C31" t="s">
        <v>92</v>
      </c>
      <c r="D31" t="s">
        <v>166</v>
      </c>
      <c r="E31">
        <v>88</v>
      </c>
      <c r="F31">
        <v>785</v>
      </c>
      <c r="G31">
        <v>11.2</v>
      </c>
      <c r="H31">
        <v>43.05</v>
      </c>
      <c r="I31">
        <v>43.05</v>
      </c>
      <c r="J31">
        <v>3788.4</v>
      </c>
      <c r="K31" t="s">
        <v>74</v>
      </c>
      <c r="L31">
        <v>517.4</v>
      </c>
    </row>
    <row r="32" spans="1:12" x14ac:dyDescent="0.2">
      <c r="A32" t="s">
        <v>158</v>
      </c>
      <c r="B32" t="s">
        <v>50</v>
      </c>
      <c r="C32" t="s">
        <v>94</v>
      </c>
      <c r="D32" t="s">
        <v>166</v>
      </c>
      <c r="E32">
        <v>63</v>
      </c>
      <c r="F32">
        <v>710</v>
      </c>
      <c r="G32">
        <v>8.9</v>
      </c>
      <c r="H32">
        <v>108.2</v>
      </c>
      <c r="I32">
        <v>108.2</v>
      </c>
      <c r="J32">
        <v>6816.6</v>
      </c>
      <c r="K32" t="s">
        <v>74</v>
      </c>
      <c r="L32">
        <v>1144.0999999999999</v>
      </c>
    </row>
    <row r="33" spans="1:12" x14ac:dyDescent="0.2">
      <c r="A33" t="s">
        <v>95</v>
      </c>
      <c r="B33" t="s">
        <v>46</v>
      </c>
      <c r="C33" t="s">
        <v>96</v>
      </c>
      <c r="D33" t="s">
        <v>166</v>
      </c>
      <c r="E33">
        <v>74</v>
      </c>
      <c r="F33">
        <v>470</v>
      </c>
      <c r="G33">
        <v>15.7</v>
      </c>
      <c r="H33">
        <v>5.2</v>
      </c>
      <c r="I33">
        <v>5.2</v>
      </c>
      <c r="J33">
        <v>384.8</v>
      </c>
      <c r="K33" t="s">
        <v>74</v>
      </c>
      <c r="L33">
        <v>57.7</v>
      </c>
    </row>
    <row r="34" spans="1:12" x14ac:dyDescent="0.2">
      <c r="A34" t="s">
        <v>97</v>
      </c>
      <c r="B34" t="s">
        <v>46</v>
      </c>
      <c r="C34" t="s">
        <v>98</v>
      </c>
      <c r="D34" t="s">
        <v>166</v>
      </c>
      <c r="E34">
        <v>83</v>
      </c>
      <c r="F34">
        <v>510</v>
      </c>
      <c r="G34">
        <v>16.3</v>
      </c>
      <c r="H34">
        <v>10.33</v>
      </c>
      <c r="I34">
        <v>10.33</v>
      </c>
      <c r="J34">
        <v>857.39</v>
      </c>
      <c r="K34" t="s">
        <v>74</v>
      </c>
      <c r="L34">
        <v>119.3</v>
      </c>
    </row>
    <row r="35" spans="1:12" x14ac:dyDescent="0.2">
      <c r="A35" t="s">
        <v>99</v>
      </c>
      <c r="B35" t="s">
        <v>50</v>
      </c>
      <c r="C35" t="s">
        <v>100</v>
      </c>
      <c r="D35" t="s">
        <v>166</v>
      </c>
      <c r="E35">
        <v>72</v>
      </c>
      <c r="F35">
        <v>935</v>
      </c>
      <c r="G35">
        <v>7.7</v>
      </c>
      <c r="H35">
        <v>50.29</v>
      </c>
      <c r="I35">
        <v>50.29</v>
      </c>
      <c r="J35">
        <v>3620.88</v>
      </c>
      <c r="K35" t="s">
        <v>74</v>
      </c>
      <c r="L35">
        <v>555.4</v>
      </c>
    </row>
    <row r="36" spans="1:12" x14ac:dyDescent="0.2">
      <c r="A36" t="s">
        <v>101</v>
      </c>
      <c r="B36" t="s">
        <v>50</v>
      </c>
      <c r="C36" t="s">
        <v>102</v>
      </c>
      <c r="D36" t="s">
        <v>166</v>
      </c>
      <c r="E36">
        <v>57</v>
      </c>
      <c r="F36">
        <v>746</v>
      </c>
      <c r="G36">
        <v>7.6</v>
      </c>
      <c r="H36">
        <v>70.819999999999993</v>
      </c>
      <c r="I36">
        <v>70.819999999999993</v>
      </c>
      <c r="J36">
        <v>4036.74</v>
      </c>
      <c r="K36" t="s">
        <v>74</v>
      </c>
      <c r="L36">
        <v>810.4</v>
      </c>
    </row>
    <row r="37" spans="1:12" x14ac:dyDescent="0.2">
      <c r="A37" t="s">
        <v>103</v>
      </c>
      <c r="B37" t="s">
        <v>48</v>
      </c>
      <c r="C37" t="s">
        <v>104</v>
      </c>
      <c r="D37" t="s">
        <v>166</v>
      </c>
      <c r="E37">
        <v>71</v>
      </c>
      <c r="F37">
        <v>1087</v>
      </c>
      <c r="G37">
        <v>6.5</v>
      </c>
      <c r="H37">
        <v>43.5</v>
      </c>
      <c r="I37">
        <v>43.5</v>
      </c>
      <c r="J37">
        <v>3088.5</v>
      </c>
      <c r="K37" t="s">
        <v>74</v>
      </c>
      <c r="L37">
        <v>504.9</v>
      </c>
    </row>
    <row r="38" spans="1:12" x14ac:dyDescent="0.2">
      <c r="A38" t="s">
        <v>105</v>
      </c>
      <c r="B38" t="s">
        <v>67</v>
      </c>
      <c r="C38" t="s">
        <v>106</v>
      </c>
      <c r="D38" t="s">
        <v>166</v>
      </c>
      <c r="E38">
        <v>19</v>
      </c>
      <c r="F38">
        <v>773</v>
      </c>
      <c r="G38">
        <v>2.5</v>
      </c>
      <c r="H38">
        <v>175.28</v>
      </c>
      <c r="I38">
        <v>175.28</v>
      </c>
      <c r="J38">
        <v>3330.32</v>
      </c>
      <c r="K38" t="s">
        <v>74</v>
      </c>
      <c r="L38">
        <v>1933.6</v>
      </c>
    </row>
    <row r="39" spans="1:12" x14ac:dyDescent="0.2">
      <c r="A39" t="s">
        <v>107</v>
      </c>
      <c r="B39" t="s">
        <v>67</v>
      </c>
      <c r="C39" t="s">
        <v>108</v>
      </c>
      <c r="D39" t="s">
        <v>166</v>
      </c>
      <c r="E39">
        <v>32</v>
      </c>
      <c r="F39">
        <v>669</v>
      </c>
      <c r="G39">
        <v>4.8</v>
      </c>
      <c r="H39">
        <v>254.26</v>
      </c>
      <c r="I39">
        <v>254.26</v>
      </c>
      <c r="J39">
        <v>8136.32</v>
      </c>
      <c r="K39" t="s">
        <v>74</v>
      </c>
      <c r="L39">
        <v>2853.9</v>
      </c>
    </row>
    <row r="40" spans="1:12" x14ac:dyDescent="0.2">
      <c r="A40" t="s">
        <v>109</v>
      </c>
      <c r="B40" t="s">
        <v>67</v>
      </c>
      <c r="C40" t="s">
        <v>110</v>
      </c>
      <c r="D40" t="s">
        <v>166</v>
      </c>
      <c r="E40">
        <v>30</v>
      </c>
      <c r="F40">
        <v>1172</v>
      </c>
      <c r="G40">
        <v>2.6</v>
      </c>
      <c r="H40">
        <v>237.36</v>
      </c>
      <c r="I40">
        <v>237.36</v>
      </c>
      <c r="J40">
        <v>7120.8</v>
      </c>
      <c r="K40" t="s">
        <v>74</v>
      </c>
      <c r="L40">
        <v>2557.6999999999998</v>
      </c>
    </row>
    <row r="41" spans="1:12" x14ac:dyDescent="0.2">
      <c r="A41" t="s">
        <v>111</v>
      </c>
      <c r="B41" t="s">
        <v>67</v>
      </c>
      <c r="C41" t="s">
        <v>112</v>
      </c>
      <c r="D41" t="s">
        <v>166</v>
      </c>
      <c r="E41">
        <v>27</v>
      </c>
      <c r="F41">
        <v>1067</v>
      </c>
      <c r="G41">
        <v>2.5</v>
      </c>
      <c r="H41">
        <v>145.34</v>
      </c>
      <c r="I41">
        <v>145.34</v>
      </c>
      <c r="J41">
        <v>3924.18</v>
      </c>
      <c r="K41" t="s">
        <v>35</v>
      </c>
      <c r="L41">
        <v>3134.3</v>
      </c>
    </row>
    <row r="42" spans="1:12" x14ac:dyDescent="0.2">
      <c r="A42" t="s">
        <v>179</v>
      </c>
      <c r="B42" t="s">
        <v>67</v>
      </c>
      <c r="C42" t="s">
        <v>114</v>
      </c>
      <c r="D42" t="s">
        <v>166</v>
      </c>
      <c r="E42">
        <v>41</v>
      </c>
      <c r="F42">
        <v>1073</v>
      </c>
      <c r="G42">
        <v>3.8</v>
      </c>
      <c r="H42">
        <v>232.02</v>
      </c>
      <c r="I42">
        <v>232.02</v>
      </c>
      <c r="J42">
        <v>9512.82</v>
      </c>
      <c r="K42" t="s">
        <v>74</v>
      </c>
      <c r="L42">
        <v>2835.1</v>
      </c>
    </row>
    <row r="43" spans="1:12" x14ac:dyDescent="0.2">
      <c r="A43" t="s">
        <v>115</v>
      </c>
      <c r="B43" t="s">
        <v>69</v>
      </c>
      <c r="C43" t="s">
        <v>116</v>
      </c>
      <c r="D43" t="s">
        <v>166</v>
      </c>
      <c r="E43">
        <v>100</v>
      </c>
      <c r="F43">
        <v>983</v>
      </c>
      <c r="G43">
        <v>10.199999999999999</v>
      </c>
      <c r="H43">
        <v>0.09</v>
      </c>
      <c r="I43">
        <v>0.09</v>
      </c>
      <c r="J43">
        <v>9</v>
      </c>
      <c r="K43" t="s">
        <v>74</v>
      </c>
      <c r="L43">
        <v>1.1000000000000001</v>
      </c>
    </row>
    <row r="44" spans="1:12" x14ac:dyDescent="0.2">
      <c r="A44" t="s">
        <v>117</v>
      </c>
      <c r="B44" t="s">
        <v>52</v>
      </c>
      <c r="C44" t="s">
        <v>118</v>
      </c>
      <c r="D44" t="s">
        <v>166</v>
      </c>
      <c r="E44">
        <v>100</v>
      </c>
      <c r="F44">
        <v>868</v>
      </c>
      <c r="G44">
        <v>11.5</v>
      </c>
      <c r="H44">
        <v>0</v>
      </c>
      <c r="I44">
        <v>0</v>
      </c>
      <c r="J44">
        <v>0</v>
      </c>
      <c r="K44" t="s">
        <v>74</v>
      </c>
      <c r="L44">
        <v>0</v>
      </c>
    </row>
    <row r="45" spans="1:12" x14ac:dyDescent="0.2">
      <c r="A45" t="s">
        <v>119</v>
      </c>
      <c r="B45" t="s">
        <v>52</v>
      </c>
      <c r="C45" t="s">
        <v>120</v>
      </c>
      <c r="D45" t="s">
        <v>166</v>
      </c>
      <c r="E45">
        <v>89</v>
      </c>
      <c r="F45">
        <v>389</v>
      </c>
      <c r="G45">
        <v>22.9</v>
      </c>
      <c r="H45">
        <v>13.14</v>
      </c>
      <c r="I45">
        <v>13.14</v>
      </c>
      <c r="J45">
        <v>1169.46</v>
      </c>
      <c r="K45" t="s">
        <v>74</v>
      </c>
      <c r="L45">
        <v>139.6</v>
      </c>
    </row>
    <row r="46" spans="1:12" x14ac:dyDescent="0.2">
      <c r="A46" t="s">
        <v>121</v>
      </c>
      <c r="B46" t="s">
        <v>52</v>
      </c>
      <c r="C46" t="s">
        <v>122</v>
      </c>
      <c r="D46" t="s">
        <v>166</v>
      </c>
      <c r="E46">
        <v>110</v>
      </c>
      <c r="F46">
        <v>341</v>
      </c>
      <c r="G46">
        <v>32.299999999999997</v>
      </c>
      <c r="H46">
        <v>44.14</v>
      </c>
      <c r="I46">
        <v>44.14</v>
      </c>
      <c r="J46">
        <v>4855.3999999999996</v>
      </c>
      <c r="K46" t="s">
        <v>74</v>
      </c>
      <c r="L46">
        <v>485</v>
      </c>
    </row>
    <row r="47" spans="1:12" x14ac:dyDescent="0.2">
      <c r="A47" t="s">
        <v>123</v>
      </c>
      <c r="B47" t="s">
        <v>71</v>
      </c>
      <c r="C47" t="s">
        <v>124</v>
      </c>
      <c r="D47" t="s">
        <v>166</v>
      </c>
      <c r="E47">
        <v>69</v>
      </c>
      <c r="F47">
        <v>1084</v>
      </c>
      <c r="G47">
        <v>6.4</v>
      </c>
      <c r="H47">
        <v>140.63</v>
      </c>
      <c r="I47">
        <v>140.63</v>
      </c>
      <c r="J47">
        <v>9703.4699999999993</v>
      </c>
      <c r="K47" t="s">
        <v>35</v>
      </c>
      <c r="L47">
        <v>3393.8</v>
      </c>
    </row>
    <row r="48" spans="1:12" x14ac:dyDescent="0.2">
      <c r="A48" t="s">
        <v>125</v>
      </c>
      <c r="B48" t="s">
        <v>58</v>
      </c>
      <c r="C48" t="s">
        <v>126</v>
      </c>
      <c r="D48" t="s">
        <v>166</v>
      </c>
      <c r="E48">
        <v>31</v>
      </c>
      <c r="F48">
        <v>517</v>
      </c>
      <c r="G48">
        <v>6</v>
      </c>
      <c r="H48">
        <v>100.59</v>
      </c>
      <c r="I48">
        <v>100.59</v>
      </c>
      <c r="J48">
        <v>3118.29</v>
      </c>
      <c r="K48" t="s">
        <v>74</v>
      </c>
      <c r="L48">
        <v>1147.2</v>
      </c>
    </row>
    <row r="49" spans="1:12" x14ac:dyDescent="0.2">
      <c r="A49" t="s">
        <v>162</v>
      </c>
      <c r="B49" t="s">
        <v>60</v>
      </c>
      <c r="C49" t="s">
        <v>126</v>
      </c>
      <c r="D49" t="s">
        <v>166</v>
      </c>
      <c r="E49">
        <v>14</v>
      </c>
      <c r="F49">
        <v>1122</v>
      </c>
      <c r="G49">
        <v>1.2</v>
      </c>
      <c r="H49">
        <v>148.69999999999999</v>
      </c>
      <c r="I49">
        <v>148.69999999999999</v>
      </c>
      <c r="J49">
        <v>2081.8000000000002</v>
      </c>
      <c r="K49" t="s">
        <v>74</v>
      </c>
      <c r="L49">
        <v>1739.5</v>
      </c>
    </row>
    <row r="50" spans="1:12" x14ac:dyDescent="0.2">
      <c r="A50" t="s">
        <v>127</v>
      </c>
      <c r="B50" t="s">
        <v>58</v>
      </c>
      <c r="C50" t="s">
        <v>128</v>
      </c>
      <c r="D50" t="s">
        <v>166</v>
      </c>
      <c r="E50">
        <v>20</v>
      </c>
      <c r="F50">
        <v>429</v>
      </c>
      <c r="G50">
        <v>4.7</v>
      </c>
      <c r="H50">
        <v>0</v>
      </c>
      <c r="I50">
        <v>0</v>
      </c>
      <c r="J50">
        <v>0</v>
      </c>
      <c r="K50" t="s">
        <v>74</v>
      </c>
      <c r="L50">
        <v>0</v>
      </c>
    </row>
    <row r="51" spans="1:12" x14ac:dyDescent="0.2">
      <c r="A51" t="s">
        <v>129</v>
      </c>
      <c r="B51" t="s">
        <v>60</v>
      </c>
      <c r="C51" t="s">
        <v>130</v>
      </c>
      <c r="D51" t="s">
        <v>166</v>
      </c>
      <c r="E51">
        <v>35</v>
      </c>
      <c r="F51">
        <v>1024</v>
      </c>
      <c r="G51">
        <v>3.4</v>
      </c>
      <c r="H51">
        <v>0</v>
      </c>
      <c r="I51">
        <v>0</v>
      </c>
      <c r="J51">
        <v>0</v>
      </c>
      <c r="K51" t="s">
        <v>74</v>
      </c>
      <c r="L51">
        <v>0</v>
      </c>
    </row>
    <row r="52" spans="1:12" x14ac:dyDescent="0.2">
      <c r="A52" t="s">
        <v>163</v>
      </c>
      <c r="B52" t="s">
        <v>149</v>
      </c>
      <c r="C52" t="s">
        <v>132</v>
      </c>
      <c r="D52" t="s">
        <v>166</v>
      </c>
      <c r="E52">
        <v>38</v>
      </c>
      <c r="F52">
        <v>611</v>
      </c>
      <c r="G52">
        <v>6.2</v>
      </c>
      <c r="H52">
        <v>120.82</v>
      </c>
      <c r="I52">
        <v>120.82</v>
      </c>
      <c r="J52">
        <v>4591.16</v>
      </c>
      <c r="K52" t="s">
        <v>74</v>
      </c>
      <c r="L52">
        <v>1358.2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180</v>
      </c>
      <c r="B1" s="1" t="s">
        <v>181</v>
      </c>
      <c r="C1" s="1" t="s">
        <v>182</v>
      </c>
      <c r="D1" s="1" t="s">
        <v>24</v>
      </c>
      <c r="E1" s="1" t="s">
        <v>183</v>
      </c>
      <c r="F1" s="1" t="s">
        <v>25</v>
      </c>
    </row>
    <row r="2" spans="1:6" x14ac:dyDescent="0.2">
      <c r="A2" t="s">
        <v>46</v>
      </c>
      <c r="B2">
        <v>1</v>
      </c>
      <c r="C2">
        <v>938.34</v>
      </c>
      <c r="D2">
        <v>908</v>
      </c>
      <c r="E2">
        <v>829</v>
      </c>
      <c r="F2">
        <v>91.3</v>
      </c>
    </row>
    <row r="3" spans="1:6" x14ac:dyDescent="0.2">
      <c r="A3" t="s">
        <v>62</v>
      </c>
      <c r="B3">
        <v>1</v>
      </c>
      <c r="C3">
        <v>1752.93</v>
      </c>
      <c r="D3">
        <v>1925</v>
      </c>
      <c r="E3">
        <v>343</v>
      </c>
      <c r="F3">
        <v>17.8</v>
      </c>
    </row>
    <row r="4" spans="1:6" x14ac:dyDescent="0.2">
      <c r="A4" t="s">
        <v>54</v>
      </c>
      <c r="B4">
        <v>1</v>
      </c>
      <c r="C4">
        <v>1641.35</v>
      </c>
      <c r="D4">
        <v>1911</v>
      </c>
      <c r="E4">
        <v>860</v>
      </c>
      <c r="F4">
        <v>45</v>
      </c>
    </row>
    <row r="5" spans="1:6" x14ac:dyDescent="0.2">
      <c r="A5" t="s">
        <v>56</v>
      </c>
      <c r="B5">
        <v>1</v>
      </c>
      <c r="C5">
        <v>1003.8</v>
      </c>
      <c r="D5">
        <v>1103</v>
      </c>
      <c r="E5">
        <v>293</v>
      </c>
      <c r="F5">
        <v>26.6</v>
      </c>
    </row>
    <row r="6" spans="1:6" x14ac:dyDescent="0.2">
      <c r="A6" t="s">
        <v>65</v>
      </c>
      <c r="B6">
        <v>1</v>
      </c>
      <c r="C6">
        <v>1633.63</v>
      </c>
      <c r="D6">
        <v>1699</v>
      </c>
      <c r="E6">
        <v>148</v>
      </c>
      <c r="F6">
        <v>8.6999999999999993</v>
      </c>
    </row>
    <row r="7" spans="1:6" x14ac:dyDescent="0.2">
      <c r="A7" t="s">
        <v>67</v>
      </c>
      <c r="B7">
        <v>1</v>
      </c>
      <c r="C7">
        <v>903.04</v>
      </c>
      <c r="D7">
        <v>1179</v>
      </c>
      <c r="E7">
        <v>737</v>
      </c>
      <c r="F7">
        <v>62.5</v>
      </c>
    </row>
    <row r="8" spans="1:6" x14ac:dyDescent="0.2">
      <c r="A8" t="s">
        <v>60</v>
      </c>
      <c r="B8">
        <v>1</v>
      </c>
      <c r="C8">
        <v>709.42</v>
      </c>
      <c r="D8">
        <v>839</v>
      </c>
      <c r="E8">
        <v>642</v>
      </c>
      <c r="F8">
        <v>76.5</v>
      </c>
    </row>
    <row r="9" spans="1:6" x14ac:dyDescent="0.2">
      <c r="A9" t="s">
        <v>48</v>
      </c>
      <c r="B9">
        <v>1</v>
      </c>
      <c r="C9">
        <v>1872.1</v>
      </c>
      <c r="D9">
        <v>2389</v>
      </c>
      <c r="E9">
        <v>330</v>
      </c>
      <c r="F9">
        <v>13.8</v>
      </c>
    </row>
    <row r="10" spans="1:6" x14ac:dyDescent="0.2">
      <c r="A10" t="s">
        <v>50</v>
      </c>
      <c r="B10">
        <v>1</v>
      </c>
      <c r="C10">
        <v>1846.51</v>
      </c>
      <c r="D10">
        <v>2387</v>
      </c>
      <c r="E10">
        <v>648</v>
      </c>
      <c r="F10">
        <v>27.1</v>
      </c>
    </row>
    <row r="11" spans="1:6" x14ac:dyDescent="0.2">
      <c r="A11" t="s">
        <v>58</v>
      </c>
      <c r="B11">
        <v>1</v>
      </c>
      <c r="C11">
        <v>1454.07</v>
      </c>
      <c r="D11">
        <v>1495</v>
      </c>
      <c r="E11">
        <v>726</v>
      </c>
      <c r="F11">
        <v>48.6</v>
      </c>
    </row>
    <row r="12" spans="1:6" x14ac:dyDescent="0.2">
      <c r="A12" t="s">
        <v>149</v>
      </c>
      <c r="B12">
        <v>1</v>
      </c>
      <c r="C12">
        <v>2163.27</v>
      </c>
      <c r="D12">
        <v>2102</v>
      </c>
      <c r="E12">
        <v>87</v>
      </c>
      <c r="F12">
        <v>4.0999999999999996</v>
      </c>
    </row>
    <row r="13" spans="1:6" x14ac:dyDescent="0.2">
      <c r="A13" t="s">
        <v>52</v>
      </c>
      <c r="B13">
        <v>1</v>
      </c>
      <c r="C13">
        <v>1667.39</v>
      </c>
      <c r="D13">
        <v>1898</v>
      </c>
      <c r="E13">
        <v>1073</v>
      </c>
      <c r="F13">
        <v>56.5</v>
      </c>
    </row>
    <row r="14" spans="1:6" x14ac:dyDescent="0.2">
      <c r="A14" t="s">
        <v>69</v>
      </c>
      <c r="B14">
        <v>1</v>
      </c>
      <c r="C14">
        <v>2160.25</v>
      </c>
      <c r="D14">
        <v>2488</v>
      </c>
      <c r="E14">
        <v>283</v>
      </c>
      <c r="F14">
        <v>11.4</v>
      </c>
    </row>
    <row r="15" spans="1:6" x14ac:dyDescent="0.2">
      <c r="A15" t="s">
        <v>71</v>
      </c>
      <c r="B15">
        <v>1</v>
      </c>
      <c r="C15">
        <v>2300.39</v>
      </c>
      <c r="D15">
        <v>2278</v>
      </c>
      <c r="E15">
        <v>488</v>
      </c>
      <c r="F15">
        <v>21.4</v>
      </c>
    </row>
    <row r="16" spans="1:6" x14ac:dyDescent="0.2">
      <c r="A16" t="s">
        <v>184</v>
      </c>
      <c r="B16">
        <v>0</v>
      </c>
      <c r="C16">
        <v>1366.1</v>
      </c>
      <c r="D16">
        <v>1439</v>
      </c>
      <c r="E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19</v>
      </c>
      <c r="B1" s="1" t="s">
        <v>185</v>
      </c>
      <c r="C1" s="1" t="s">
        <v>20</v>
      </c>
      <c r="D1" s="1" t="s">
        <v>21</v>
      </c>
      <c r="E1" s="1" t="s">
        <v>186</v>
      </c>
      <c r="F1" s="1" t="s">
        <v>24</v>
      </c>
      <c r="G1" s="1" t="s">
        <v>25</v>
      </c>
      <c r="H1" s="1" t="s">
        <v>187</v>
      </c>
      <c r="I1" s="1" t="s">
        <v>29</v>
      </c>
      <c r="J1" s="1" t="s">
        <v>30</v>
      </c>
    </row>
    <row r="2" spans="1:10" x14ac:dyDescent="0.2">
      <c r="A2" t="s">
        <v>72</v>
      </c>
      <c r="B2">
        <v>1</v>
      </c>
      <c r="C2" t="s">
        <v>54</v>
      </c>
      <c r="D2" t="s">
        <v>73</v>
      </c>
      <c r="E2">
        <v>222</v>
      </c>
      <c r="F2">
        <v>515</v>
      </c>
      <c r="G2">
        <v>43.1</v>
      </c>
      <c r="H2">
        <v>816.76</v>
      </c>
      <c r="I2" t="s">
        <v>74</v>
      </c>
      <c r="J2">
        <v>550</v>
      </c>
    </row>
    <row r="3" spans="1:10" x14ac:dyDescent="0.2">
      <c r="A3" t="s">
        <v>79</v>
      </c>
      <c r="B3">
        <v>1</v>
      </c>
      <c r="C3" t="s">
        <v>56</v>
      </c>
      <c r="D3" t="s">
        <v>80</v>
      </c>
      <c r="E3">
        <v>231</v>
      </c>
      <c r="F3">
        <v>546</v>
      </c>
      <c r="G3">
        <v>42.3</v>
      </c>
      <c r="H3">
        <v>2169.4499999999998</v>
      </c>
      <c r="I3" t="s">
        <v>74</v>
      </c>
      <c r="J3">
        <v>402.8</v>
      </c>
    </row>
    <row r="4" spans="1:10" x14ac:dyDescent="0.2">
      <c r="A4" t="s">
        <v>83</v>
      </c>
      <c r="B4">
        <v>1</v>
      </c>
      <c r="C4" t="s">
        <v>62</v>
      </c>
      <c r="D4" t="s">
        <v>84</v>
      </c>
      <c r="E4">
        <v>190</v>
      </c>
      <c r="F4">
        <v>549</v>
      </c>
      <c r="G4">
        <v>34.6</v>
      </c>
      <c r="H4">
        <v>2080.0100000000002</v>
      </c>
      <c r="I4" t="s">
        <v>74</v>
      </c>
      <c r="J4">
        <v>362.3</v>
      </c>
    </row>
    <row r="5" spans="1:10" x14ac:dyDescent="0.2">
      <c r="A5" t="s">
        <v>97</v>
      </c>
      <c r="B5">
        <v>1</v>
      </c>
      <c r="C5" t="s">
        <v>46</v>
      </c>
      <c r="D5" t="s">
        <v>98</v>
      </c>
      <c r="E5">
        <v>228</v>
      </c>
      <c r="F5">
        <v>510</v>
      </c>
      <c r="G5">
        <v>44.7</v>
      </c>
      <c r="H5">
        <v>2051.09</v>
      </c>
      <c r="I5" t="s">
        <v>74</v>
      </c>
      <c r="J5">
        <v>119.3</v>
      </c>
    </row>
    <row r="6" spans="1:10" x14ac:dyDescent="0.2">
      <c r="A6" t="s">
        <v>107</v>
      </c>
      <c r="B6">
        <v>1</v>
      </c>
      <c r="C6" t="s">
        <v>67</v>
      </c>
      <c r="D6" t="s">
        <v>108</v>
      </c>
      <c r="E6">
        <v>179</v>
      </c>
      <c r="F6">
        <v>669</v>
      </c>
      <c r="G6">
        <v>26.8</v>
      </c>
      <c r="H6">
        <v>1809.56</v>
      </c>
      <c r="I6" t="s">
        <v>74</v>
      </c>
      <c r="J6">
        <v>2853.9</v>
      </c>
    </row>
    <row r="7" spans="1:10" x14ac:dyDescent="0.2">
      <c r="A7" t="s">
        <v>179</v>
      </c>
      <c r="B7">
        <v>1</v>
      </c>
      <c r="C7" t="s">
        <v>67</v>
      </c>
      <c r="D7" t="s">
        <v>114</v>
      </c>
      <c r="E7">
        <v>41</v>
      </c>
      <c r="F7">
        <v>1073</v>
      </c>
      <c r="G7">
        <v>3.8</v>
      </c>
      <c r="H7">
        <v>1260.02</v>
      </c>
      <c r="I7" t="s">
        <v>74</v>
      </c>
      <c r="J7">
        <v>2835.1</v>
      </c>
    </row>
    <row r="8" spans="1:10" x14ac:dyDescent="0.2">
      <c r="A8" t="s">
        <v>115</v>
      </c>
      <c r="B8">
        <v>1</v>
      </c>
      <c r="C8" t="s">
        <v>69</v>
      </c>
      <c r="D8" t="s">
        <v>116</v>
      </c>
      <c r="E8">
        <v>252</v>
      </c>
      <c r="F8">
        <v>983</v>
      </c>
      <c r="G8">
        <v>25.6</v>
      </c>
      <c r="H8">
        <v>2244.77</v>
      </c>
      <c r="I8" t="s">
        <v>74</v>
      </c>
      <c r="J8">
        <v>1.1000000000000001</v>
      </c>
    </row>
    <row r="9" spans="1:10" x14ac:dyDescent="0.2">
      <c r="A9" t="s">
        <v>117</v>
      </c>
      <c r="B9">
        <v>1</v>
      </c>
      <c r="C9" t="s">
        <v>52</v>
      </c>
      <c r="D9" t="s">
        <v>118</v>
      </c>
      <c r="E9">
        <v>214</v>
      </c>
      <c r="F9">
        <v>868</v>
      </c>
      <c r="G9">
        <v>24.7</v>
      </c>
      <c r="H9">
        <v>2341.86</v>
      </c>
      <c r="I9" t="s">
        <v>74</v>
      </c>
      <c r="J9">
        <v>0</v>
      </c>
    </row>
    <row r="10" spans="1:10" x14ac:dyDescent="0.2">
      <c r="A10" t="s">
        <v>119</v>
      </c>
      <c r="B10">
        <v>1</v>
      </c>
      <c r="C10" t="s">
        <v>52</v>
      </c>
      <c r="D10" t="s">
        <v>120</v>
      </c>
      <c r="E10">
        <v>201</v>
      </c>
      <c r="F10">
        <v>389</v>
      </c>
      <c r="G10">
        <v>51.7</v>
      </c>
      <c r="H10">
        <v>1767.5</v>
      </c>
      <c r="I10" t="s">
        <v>74</v>
      </c>
      <c r="J10">
        <v>139.6</v>
      </c>
    </row>
    <row r="11" spans="1:10" x14ac:dyDescent="0.2">
      <c r="A11" t="s">
        <v>127</v>
      </c>
      <c r="B11">
        <v>1</v>
      </c>
      <c r="C11" t="s">
        <v>58</v>
      </c>
      <c r="D11" t="s">
        <v>128</v>
      </c>
      <c r="E11">
        <v>176</v>
      </c>
      <c r="F11">
        <v>429</v>
      </c>
      <c r="G11">
        <v>41</v>
      </c>
      <c r="H11">
        <v>1422.3</v>
      </c>
      <c r="I11" t="s">
        <v>74</v>
      </c>
      <c r="J11">
        <v>0</v>
      </c>
    </row>
    <row r="12" spans="1:10" x14ac:dyDescent="0.2">
      <c r="A12" t="s">
        <v>163</v>
      </c>
      <c r="B12">
        <v>1</v>
      </c>
      <c r="C12" t="s">
        <v>149</v>
      </c>
      <c r="D12" t="s">
        <v>132</v>
      </c>
      <c r="E12">
        <v>87</v>
      </c>
      <c r="F12">
        <v>611</v>
      </c>
      <c r="G12">
        <v>14.2</v>
      </c>
      <c r="H12">
        <v>1675.14</v>
      </c>
      <c r="I12" t="s">
        <v>74</v>
      </c>
      <c r="J12">
        <v>1358.2</v>
      </c>
    </row>
    <row r="13" spans="1:10" x14ac:dyDescent="0.2">
      <c r="A13" t="s">
        <v>188</v>
      </c>
      <c r="B13">
        <v>0</v>
      </c>
      <c r="C13" t="s">
        <v>46</v>
      </c>
      <c r="D13" t="s">
        <v>50</v>
      </c>
      <c r="E13">
        <v>0</v>
      </c>
      <c r="F13">
        <v>1148</v>
      </c>
      <c r="H13">
        <v>1500.94</v>
      </c>
      <c r="I13" t="s">
        <v>74</v>
      </c>
      <c r="J13">
        <v>1127.8</v>
      </c>
    </row>
    <row r="14" spans="1:10" x14ac:dyDescent="0.2">
      <c r="A14" t="s">
        <v>189</v>
      </c>
      <c r="B14">
        <v>0</v>
      </c>
      <c r="C14" t="s">
        <v>50</v>
      </c>
      <c r="D14" t="s">
        <v>46</v>
      </c>
      <c r="E14">
        <v>0</v>
      </c>
      <c r="F14">
        <v>744</v>
      </c>
      <c r="H14">
        <v>660.88</v>
      </c>
      <c r="I14" t="s">
        <v>74</v>
      </c>
      <c r="J14">
        <v>1127.8</v>
      </c>
    </row>
    <row r="15" spans="1:10" x14ac:dyDescent="0.2">
      <c r="A15" t="s">
        <v>190</v>
      </c>
      <c r="B15">
        <v>0</v>
      </c>
      <c r="C15" t="s">
        <v>54</v>
      </c>
      <c r="D15" t="s">
        <v>46</v>
      </c>
      <c r="E15">
        <v>0</v>
      </c>
      <c r="F15">
        <v>689</v>
      </c>
      <c r="H15">
        <v>1144.6400000000001</v>
      </c>
      <c r="I15" t="s">
        <v>35</v>
      </c>
      <c r="J15">
        <v>5978.7</v>
      </c>
    </row>
    <row r="16" spans="1:10" x14ac:dyDescent="0.2">
      <c r="A16" t="s">
        <v>191</v>
      </c>
      <c r="B16">
        <v>0</v>
      </c>
      <c r="C16" t="s">
        <v>46</v>
      </c>
      <c r="D16" t="s">
        <v>56</v>
      </c>
      <c r="E16">
        <v>0</v>
      </c>
      <c r="F16">
        <v>525</v>
      </c>
      <c r="H16">
        <v>682.65</v>
      </c>
      <c r="I16" t="s">
        <v>35</v>
      </c>
      <c r="J16">
        <v>5491.6</v>
      </c>
    </row>
    <row r="17" spans="1:10" x14ac:dyDescent="0.2">
      <c r="A17" t="s">
        <v>192</v>
      </c>
      <c r="B17">
        <v>0</v>
      </c>
      <c r="C17" t="s">
        <v>46</v>
      </c>
      <c r="D17" t="s">
        <v>67</v>
      </c>
      <c r="E17">
        <v>0</v>
      </c>
      <c r="F17">
        <v>1052</v>
      </c>
      <c r="H17">
        <v>1650.4</v>
      </c>
      <c r="I17" t="s">
        <v>35</v>
      </c>
      <c r="J17">
        <v>8577.6</v>
      </c>
    </row>
    <row r="18" spans="1:10" x14ac:dyDescent="0.2">
      <c r="A18" t="s">
        <v>193</v>
      </c>
      <c r="B18">
        <v>0</v>
      </c>
      <c r="C18" t="s">
        <v>48</v>
      </c>
      <c r="D18" t="s">
        <v>71</v>
      </c>
      <c r="E18">
        <v>0</v>
      </c>
      <c r="F18">
        <v>1200</v>
      </c>
      <c r="H18">
        <v>1844.56</v>
      </c>
      <c r="I18" t="s">
        <v>35</v>
      </c>
      <c r="J18">
        <v>10511.1</v>
      </c>
    </row>
    <row r="19" spans="1:10" x14ac:dyDescent="0.2">
      <c r="A19" t="s">
        <v>194</v>
      </c>
      <c r="B19">
        <v>0</v>
      </c>
      <c r="C19" t="s">
        <v>58</v>
      </c>
      <c r="D19" t="s">
        <v>50</v>
      </c>
      <c r="E19">
        <v>0</v>
      </c>
      <c r="F19">
        <v>463</v>
      </c>
      <c r="H19">
        <v>1670.66</v>
      </c>
      <c r="I19" t="s">
        <v>35</v>
      </c>
      <c r="J19">
        <v>5781</v>
      </c>
    </row>
    <row r="20" spans="1:10" x14ac:dyDescent="0.2">
      <c r="A20" t="s">
        <v>195</v>
      </c>
      <c r="B20">
        <v>0</v>
      </c>
      <c r="C20" t="s">
        <v>69</v>
      </c>
      <c r="D20" t="s">
        <v>58</v>
      </c>
      <c r="E20">
        <v>0</v>
      </c>
      <c r="F20">
        <v>613</v>
      </c>
      <c r="H20">
        <v>1166.6199999999999</v>
      </c>
      <c r="I20" t="s">
        <v>35</v>
      </c>
      <c r="J20">
        <v>6723.4</v>
      </c>
    </row>
    <row r="21" spans="1:10" x14ac:dyDescent="0.2">
      <c r="A21" t="s">
        <v>196</v>
      </c>
      <c r="B21">
        <v>0</v>
      </c>
      <c r="C21" t="s">
        <v>71</v>
      </c>
      <c r="D21" t="s">
        <v>58</v>
      </c>
      <c r="E21">
        <v>0</v>
      </c>
      <c r="F21">
        <v>1072</v>
      </c>
      <c r="H21">
        <v>1159.6099999999999</v>
      </c>
      <c r="I21" t="s">
        <v>35</v>
      </c>
      <c r="J21">
        <v>4284.5</v>
      </c>
    </row>
    <row r="22" spans="1:10" x14ac:dyDescent="0.2">
      <c r="A22" t="s">
        <v>197</v>
      </c>
      <c r="B22">
        <v>0</v>
      </c>
      <c r="C22" t="s">
        <v>60</v>
      </c>
      <c r="D22" t="s">
        <v>58</v>
      </c>
      <c r="E22">
        <v>0</v>
      </c>
      <c r="F22">
        <v>559</v>
      </c>
      <c r="H22">
        <v>2390.39</v>
      </c>
      <c r="I22" t="s">
        <v>74</v>
      </c>
      <c r="J22">
        <v>845.4</v>
      </c>
    </row>
    <row r="23" spans="1:10" x14ac:dyDescent="0.2">
      <c r="A23" t="s">
        <v>198</v>
      </c>
      <c r="B23">
        <v>0</v>
      </c>
      <c r="C23" t="s">
        <v>71</v>
      </c>
      <c r="D23" t="s">
        <v>149</v>
      </c>
      <c r="E23">
        <v>0</v>
      </c>
      <c r="F23">
        <v>795</v>
      </c>
      <c r="H23">
        <v>1409.65</v>
      </c>
      <c r="I23" t="s">
        <v>35</v>
      </c>
      <c r="J23">
        <v>3718.7</v>
      </c>
    </row>
    <row r="24" spans="1:10" x14ac:dyDescent="0.2">
      <c r="A24" t="s">
        <v>199</v>
      </c>
      <c r="B24">
        <v>0</v>
      </c>
      <c r="C24" t="s">
        <v>149</v>
      </c>
      <c r="D24" t="s">
        <v>60</v>
      </c>
      <c r="E24">
        <v>0</v>
      </c>
      <c r="F24">
        <v>583</v>
      </c>
      <c r="H24">
        <v>1146.55</v>
      </c>
      <c r="I24" t="s">
        <v>74</v>
      </c>
      <c r="J24">
        <v>290.60000000000002</v>
      </c>
    </row>
    <row r="25" spans="1:10" x14ac:dyDescent="0.2">
      <c r="A25" t="s">
        <v>200</v>
      </c>
      <c r="B25">
        <v>0</v>
      </c>
      <c r="C25" t="s">
        <v>71</v>
      </c>
      <c r="D25" t="s">
        <v>69</v>
      </c>
      <c r="E25">
        <v>0</v>
      </c>
      <c r="F25">
        <v>763</v>
      </c>
      <c r="H25">
        <v>2476.2399999999998</v>
      </c>
      <c r="I25" t="s">
        <v>74</v>
      </c>
      <c r="J25">
        <v>2873.5</v>
      </c>
    </row>
    <row r="26" spans="1:10" x14ac:dyDescent="0.2">
      <c r="A26" t="s">
        <v>201</v>
      </c>
      <c r="B26">
        <v>0</v>
      </c>
      <c r="C26" t="s">
        <v>184</v>
      </c>
      <c r="D26" t="s">
        <v>60</v>
      </c>
      <c r="E26">
        <v>0</v>
      </c>
      <c r="F26">
        <v>892</v>
      </c>
      <c r="H26">
        <v>1585.19</v>
      </c>
      <c r="I26" t="s">
        <v>35</v>
      </c>
      <c r="J26">
        <v>9349.6</v>
      </c>
    </row>
    <row r="27" spans="1:10" x14ac:dyDescent="0.2">
      <c r="A27" t="s">
        <v>202</v>
      </c>
      <c r="B27">
        <v>0</v>
      </c>
      <c r="C27" t="s">
        <v>60</v>
      </c>
      <c r="D27" t="s">
        <v>184</v>
      </c>
      <c r="E27">
        <v>0</v>
      </c>
      <c r="F27">
        <v>672</v>
      </c>
      <c r="H27">
        <v>875.17</v>
      </c>
      <c r="I27" t="s">
        <v>35</v>
      </c>
      <c r="J27">
        <v>9349.6</v>
      </c>
    </row>
    <row r="28" spans="1:10" x14ac:dyDescent="0.2">
      <c r="A28" t="s">
        <v>203</v>
      </c>
      <c r="B28">
        <v>0</v>
      </c>
      <c r="C28" t="s">
        <v>54</v>
      </c>
      <c r="D28" t="s">
        <v>62</v>
      </c>
      <c r="E28">
        <v>0</v>
      </c>
      <c r="F28">
        <v>981</v>
      </c>
      <c r="H28">
        <v>1750.82</v>
      </c>
      <c r="I28" t="s">
        <v>74</v>
      </c>
      <c r="J28">
        <v>2094.3000000000002</v>
      </c>
    </row>
    <row r="29" spans="1:10" x14ac:dyDescent="0.2">
      <c r="A29" t="s">
        <v>204</v>
      </c>
      <c r="B29">
        <v>0</v>
      </c>
      <c r="C29" t="s">
        <v>67</v>
      </c>
      <c r="D29" t="s">
        <v>56</v>
      </c>
      <c r="E29">
        <v>0</v>
      </c>
      <c r="F29">
        <v>928</v>
      </c>
      <c r="H29">
        <v>742.85</v>
      </c>
      <c r="I29" t="s">
        <v>35</v>
      </c>
      <c r="J29">
        <v>5567.7</v>
      </c>
    </row>
    <row r="30" spans="1:10" x14ac:dyDescent="0.2">
      <c r="A30" t="s">
        <v>205</v>
      </c>
      <c r="B30">
        <v>0</v>
      </c>
      <c r="C30" t="s">
        <v>56</v>
      </c>
      <c r="D30" t="s">
        <v>73</v>
      </c>
      <c r="E30">
        <v>0</v>
      </c>
      <c r="F30">
        <v>1176</v>
      </c>
      <c r="H30">
        <v>1717.74</v>
      </c>
      <c r="I30" t="s">
        <v>74</v>
      </c>
      <c r="J30">
        <v>533.79999999999995</v>
      </c>
    </row>
    <row r="31" spans="1:10" x14ac:dyDescent="0.2">
      <c r="A31" t="s">
        <v>206</v>
      </c>
      <c r="B31">
        <v>0</v>
      </c>
      <c r="C31" t="s">
        <v>65</v>
      </c>
      <c r="D31" t="s">
        <v>73</v>
      </c>
      <c r="E31">
        <v>0</v>
      </c>
      <c r="F31">
        <v>796</v>
      </c>
      <c r="H31">
        <v>1604.5</v>
      </c>
      <c r="I31" t="s">
        <v>74</v>
      </c>
      <c r="J31">
        <v>2944.7</v>
      </c>
    </row>
    <row r="32" spans="1:10" x14ac:dyDescent="0.2">
      <c r="A32" t="s">
        <v>207</v>
      </c>
      <c r="B32">
        <v>0</v>
      </c>
      <c r="C32" t="s">
        <v>48</v>
      </c>
      <c r="D32" t="s">
        <v>76</v>
      </c>
      <c r="E32">
        <v>0</v>
      </c>
      <c r="F32">
        <v>715</v>
      </c>
      <c r="H32">
        <v>734.93</v>
      </c>
      <c r="I32" t="s">
        <v>35</v>
      </c>
      <c r="J32">
        <v>9362.6</v>
      </c>
    </row>
    <row r="33" spans="1:10" x14ac:dyDescent="0.2">
      <c r="A33" t="s">
        <v>208</v>
      </c>
      <c r="B33">
        <v>0</v>
      </c>
      <c r="C33" t="s">
        <v>65</v>
      </c>
      <c r="D33" t="s">
        <v>82</v>
      </c>
      <c r="E33">
        <v>0</v>
      </c>
      <c r="F33">
        <v>1130</v>
      </c>
      <c r="H33">
        <v>1516.48</v>
      </c>
      <c r="I33" t="s">
        <v>74</v>
      </c>
      <c r="J33">
        <v>1777.1</v>
      </c>
    </row>
    <row r="34" spans="1:10" x14ac:dyDescent="0.2">
      <c r="A34" t="s">
        <v>209</v>
      </c>
      <c r="B34">
        <v>0</v>
      </c>
      <c r="C34" t="s">
        <v>48</v>
      </c>
      <c r="D34" t="s">
        <v>82</v>
      </c>
      <c r="E34">
        <v>0</v>
      </c>
      <c r="F34">
        <v>1091</v>
      </c>
      <c r="H34">
        <v>2228.0500000000002</v>
      </c>
      <c r="I34" t="s">
        <v>35</v>
      </c>
      <c r="J34">
        <v>6943.4</v>
      </c>
    </row>
    <row r="35" spans="1:10" x14ac:dyDescent="0.2">
      <c r="A35" t="s">
        <v>210</v>
      </c>
      <c r="B35">
        <v>0</v>
      </c>
      <c r="C35" t="s">
        <v>48</v>
      </c>
      <c r="D35" t="s">
        <v>90</v>
      </c>
      <c r="E35">
        <v>0</v>
      </c>
      <c r="F35">
        <v>741</v>
      </c>
      <c r="H35">
        <v>797.19</v>
      </c>
      <c r="I35" t="s">
        <v>74</v>
      </c>
      <c r="J35">
        <v>1052.7</v>
      </c>
    </row>
    <row r="36" spans="1:10" x14ac:dyDescent="0.2">
      <c r="A36" t="s">
        <v>211</v>
      </c>
      <c r="B36">
        <v>0</v>
      </c>
      <c r="C36" t="s">
        <v>46</v>
      </c>
      <c r="D36" t="s">
        <v>100</v>
      </c>
      <c r="E36">
        <v>0</v>
      </c>
      <c r="F36">
        <v>1030</v>
      </c>
      <c r="H36">
        <v>1272.1600000000001</v>
      </c>
      <c r="I36" t="s">
        <v>74</v>
      </c>
      <c r="J36">
        <v>942.1</v>
      </c>
    </row>
    <row r="37" spans="1:10" x14ac:dyDescent="0.2">
      <c r="A37" t="s">
        <v>212</v>
      </c>
      <c r="B37">
        <v>0</v>
      </c>
      <c r="C37" t="s">
        <v>62</v>
      </c>
      <c r="D37" t="s">
        <v>106</v>
      </c>
      <c r="E37">
        <v>0</v>
      </c>
      <c r="F37">
        <v>711</v>
      </c>
      <c r="H37">
        <v>1944.89</v>
      </c>
      <c r="I37" t="s">
        <v>35</v>
      </c>
      <c r="J37">
        <v>7175.4</v>
      </c>
    </row>
    <row r="38" spans="1:10" x14ac:dyDescent="0.2">
      <c r="A38" t="s">
        <v>213</v>
      </c>
      <c r="B38">
        <v>0</v>
      </c>
      <c r="C38" t="s">
        <v>62</v>
      </c>
      <c r="D38" t="s">
        <v>108</v>
      </c>
      <c r="E38">
        <v>0</v>
      </c>
      <c r="F38">
        <v>439</v>
      </c>
      <c r="H38">
        <v>1438.98</v>
      </c>
      <c r="I38" t="s">
        <v>35</v>
      </c>
      <c r="J38">
        <v>8087.2</v>
      </c>
    </row>
    <row r="39" spans="1:10" x14ac:dyDescent="0.2">
      <c r="A39" t="s">
        <v>214</v>
      </c>
      <c r="B39">
        <v>0</v>
      </c>
      <c r="C39" t="s">
        <v>54</v>
      </c>
      <c r="D39" t="s">
        <v>110</v>
      </c>
      <c r="E39">
        <v>0</v>
      </c>
      <c r="F39">
        <v>923</v>
      </c>
      <c r="H39">
        <v>1799.67</v>
      </c>
      <c r="I39" t="s">
        <v>35</v>
      </c>
      <c r="J39">
        <v>7938.6</v>
      </c>
    </row>
    <row r="40" spans="1:10" x14ac:dyDescent="0.2">
      <c r="A40" t="s">
        <v>215</v>
      </c>
      <c r="B40">
        <v>0</v>
      </c>
      <c r="C40" t="s">
        <v>69</v>
      </c>
      <c r="D40" t="s">
        <v>118</v>
      </c>
      <c r="E40">
        <v>0</v>
      </c>
      <c r="F40">
        <v>1198</v>
      </c>
      <c r="H40">
        <v>1993.53</v>
      </c>
      <c r="I40" t="s">
        <v>74</v>
      </c>
      <c r="J40">
        <v>396.3</v>
      </c>
    </row>
    <row r="41" spans="1:10" x14ac:dyDescent="0.2">
      <c r="A41" t="s">
        <v>216</v>
      </c>
      <c r="B41">
        <v>0</v>
      </c>
      <c r="C41" t="s">
        <v>60</v>
      </c>
      <c r="D41" t="s">
        <v>120</v>
      </c>
      <c r="E41">
        <v>0</v>
      </c>
      <c r="F41">
        <v>699</v>
      </c>
      <c r="H41">
        <v>1888</v>
      </c>
      <c r="I41" t="s">
        <v>35</v>
      </c>
      <c r="J41">
        <v>6405.7</v>
      </c>
    </row>
    <row r="42" spans="1:10" x14ac:dyDescent="0.2">
      <c r="A42" t="s">
        <v>217</v>
      </c>
      <c r="B42">
        <v>0</v>
      </c>
      <c r="C42" t="s">
        <v>60</v>
      </c>
      <c r="D42" t="s">
        <v>122</v>
      </c>
      <c r="E42">
        <v>0</v>
      </c>
      <c r="F42">
        <v>637</v>
      </c>
      <c r="H42">
        <v>791.14</v>
      </c>
      <c r="I42" t="s">
        <v>35</v>
      </c>
      <c r="J42">
        <v>5788.7</v>
      </c>
    </row>
    <row r="43" spans="1:10" x14ac:dyDescent="0.2">
      <c r="A43" t="s">
        <v>218</v>
      </c>
      <c r="B43">
        <v>0</v>
      </c>
      <c r="C43" t="s">
        <v>62</v>
      </c>
      <c r="D43" t="s">
        <v>122</v>
      </c>
      <c r="E43">
        <v>0</v>
      </c>
      <c r="F43">
        <v>778</v>
      </c>
      <c r="H43">
        <v>1631.86</v>
      </c>
      <c r="I43" t="s">
        <v>35</v>
      </c>
      <c r="J43">
        <v>11484.9</v>
      </c>
    </row>
    <row r="44" spans="1:10" x14ac:dyDescent="0.2">
      <c r="A44" t="s">
        <v>219</v>
      </c>
      <c r="B44">
        <v>0</v>
      </c>
      <c r="C44" t="s">
        <v>52</v>
      </c>
      <c r="D44" t="s">
        <v>124</v>
      </c>
      <c r="E44">
        <v>0</v>
      </c>
      <c r="F44">
        <v>453</v>
      </c>
      <c r="H44">
        <v>657.94</v>
      </c>
      <c r="I44" t="s">
        <v>74</v>
      </c>
      <c r="J44">
        <v>1058.9000000000001</v>
      </c>
    </row>
    <row r="45" spans="1:10" x14ac:dyDescent="0.2">
      <c r="A45" t="s">
        <v>220</v>
      </c>
      <c r="B45">
        <v>0</v>
      </c>
      <c r="C45" t="s">
        <v>69</v>
      </c>
      <c r="D45" t="s">
        <v>128</v>
      </c>
      <c r="E45">
        <v>0</v>
      </c>
      <c r="F45">
        <v>530</v>
      </c>
      <c r="H45">
        <v>518.79</v>
      </c>
      <c r="I45" t="s">
        <v>35</v>
      </c>
      <c r="J45">
        <v>6723.4</v>
      </c>
    </row>
    <row r="46" spans="1:10" x14ac:dyDescent="0.2">
      <c r="A46" t="s">
        <v>221</v>
      </c>
      <c r="B46">
        <v>0</v>
      </c>
      <c r="C46" t="s">
        <v>149</v>
      </c>
      <c r="D46" t="s">
        <v>130</v>
      </c>
      <c r="E46">
        <v>0</v>
      </c>
      <c r="F46">
        <v>1111</v>
      </c>
      <c r="H46">
        <v>1855.22</v>
      </c>
      <c r="I46" t="s">
        <v>74</v>
      </c>
      <c r="J46">
        <v>290.60000000000002</v>
      </c>
    </row>
    <row r="47" spans="1:10" x14ac:dyDescent="0.2">
      <c r="A47" t="s">
        <v>222</v>
      </c>
      <c r="B47">
        <v>0</v>
      </c>
      <c r="C47" t="s">
        <v>58</v>
      </c>
      <c r="D47" t="s">
        <v>130</v>
      </c>
      <c r="E47">
        <v>0</v>
      </c>
      <c r="F47">
        <v>442</v>
      </c>
      <c r="H47">
        <v>1383.46</v>
      </c>
      <c r="I47" t="s">
        <v>74</v>
      </c>
      <c r="J47">
        <v>845.4</v>
      </c>
    </row>
    <row r="48" spans="1:10" x14ac:dyDescent="0.2">
      <c r="A48" t="s">
        <v>223</v>
      </c>
      <c r="B48">
        <v>0</v>
      </c>
      <c r="C48" t="s">
        <v>58</v>
      </c>
      <c r="D48" t="s">
        <v>132</v>
      </c>
      <c r="E48">
        <v>0</v>
      </c>
      <c r="F48">
        <v>682</v>
      </c>
      <c r="H48">
        <v>1000.2</v>
      </c>
      <c r="I48" t="s">
        <v>74</v>
      </c>
      <c r="J48">
        <v>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 Fertilizers</vt:lpstr>
      <vt:lpstr>B Semiconductors</vt:lpstr>
      <vt:lpstr>C BatteryComponents</vt:lpstr>
      <vt:lpstr>Warehouses</vt:lpstr>
      <vt:lpstr>Arc Activations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Galizia</cp:lastModifiedBy>
  <dcterms:created xsi:type="dcterms:W3CDTF">2026-05-13T07:35:43Z</dcterms:created>
  <dcterms:modified xsi:type="dcterms:W3CDTF">2026-05-13T08:04:32Z</dcterms:modified>
</cp:coreProperties>
</file>