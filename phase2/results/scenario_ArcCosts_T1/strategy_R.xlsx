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 Fertilizers" sheetId="2" state="visible" r:id="rId2"/>
    <sheet xmlns:r="http://schemas.openxmlformats.org/officeDocument/2006/relationships" name="B Semiconductors" sheetId="3" state="visible" r:id="rId3"/>
    <sheet xmlns:r="http://schemas.openxmlformats.org/officeDocument/2006/relationships" name="C BatteryComponents" sheetId="4" state="visible" r:id="rId4"/>
    <sheet xmlns:r="http://schemas.openxmlformats.org/officeDocument/2006/relationships" name="Warehouses" sheetId="5" state="visible" r:id="rId5"/>
    <sheet xmlns:r="http://schemas.openxmlformats.org/officeDocument/2006/relationships" name="Arc Activ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Identification ===</f>
        <v/>
      </c>
      <c r="B2" t="inlineStr"/>
    </row>
    <row r="3">
      <c r="A3" t="inlineStr">
        <is>
          <t>Scenario Key</t>
        </is>
      </c>
      <c r="B3" t="inlineStr">
        <is>
          <t>T1</t>
        </is>
      </c>
    </row>
    <row r="4">
      <c r="A4" t="inlineStr">
        <is>
          <t>Strategy</t>
        </is>
      </c>
      <c r="B4" t="inlineStr">
        <is>
          <t>R</t>
        </is>
      </c>
    </row>
    <row r="5">
      <c r="A5" t="inlineStr">
        <is>
          <t>Infeasible Scenario</t>
        </is>
      </c>
      <c r="B5" t="inlineStr">
        <is>
          <t>no</t>
        </is>
      </c>
    </row>
    <row r="6">
      <c r="A6" t="inlineStr">
        <is>
          <t>Solve Time (s)</t>
        </is>
      </c>
      <c r="B6" t="n">
        <v>0.007</v>
      </c>
    </row>
    <row r="7">
      <c r="A7" t="inlineStr">
        <is>
          <t>Status</t>
        </is>
      </c>
      <c r="B7" t="inlineStr">
        <is>
          <t>1</t>
        </is>
      </c>
    </row>
    <row r="8">
      <c r="A8" t="inlineStr"/>
      <c r="B8" t="inlineStr"/>
    </row>
    <row r="9">
      <c r="A9">
        <f>== Cost breakdown (reported, comparable to Z*) ===</f>
        <v/>
      </c>
      <c r="B9" t="inlineStr"/>
    </row>
    <row r="10">
      <c r="A10" t="inlineStr">
        <is>
          <t>Logistics Cost ($)</t>
        </is>
      </c>
      <c r="B10" t="n">
        <v>4610797.42</v>
      </c>
    </row>
    <row r="11">
      <c r="A11" t="inlineStr">
        <is>
          <t xml:space="preserve">  Sunk baseline WH cost ($)</t>
        </is>
      </c>
      <c r="B11" t="n">
        <v>22046.49</v>
      </c>
    </row>
    <row r="12">
      <c r="A12" t="inlineStr">
        <is>
          <t xml:space="preserve">  Sunk baseline arc cost ($)</t>
        </is>
      </c>
      <c r="B12" t="n">
        <v>19638.46</v>
      </c>
    </row>
    <row r="13">
      <c r="A13" t="inlineStr">
        <is>
          <t xml:space="preserve">  New WH opening cost ($)</t>
        </is>
      </c>
      <c r="B13" t="n">
        <v>0</v>
      </c>
    </row>
    <row r="14">
      <c r="A14" t="inlineStr">
        <is>
          <t xml:space="preserve">  New arc activation cost ($)</t>
        </is>
      </c>
      <c r="B14" t="n">
        <v>0</v>
      </c>
    </row>
    <row r="15">
      <c r="A15" t="inlineStr">
        <is>
          <t xml:space="preserve">  Variable transport cost ($)</t>
        </is>
      </c>
      <c r="B15" t="n">
        <v>4569112.47</v>
      </c>
    </row>
    <row r="16">
      <c r="A16" t="inlineStr"/>
      <c r="B16" t="inlineStr"/>
    </row>
    <row r="17">
      <c r="A17">
        <f>== Optimisation objective (raw) ===</f>
        <v/>
      </c>
      <c r="B17" t="inlineStr"/>
    </row>
    <row r="18">
      <c r="A18" t="inlineStr">
        <is>
          <t>Optimisation Objective ($)</t>
        </is>
      </c>
      <c r="B18" t="n">
        <v>4569112.47</v>
      </c>
    </row>
    <row r="19">
      <c r="A19" t="inlineStr">
        <is>
          <t xml:space="preserve">  (R: variable only; A: new fixed + variable; F: full fixed + variable)</t>
        </is>
      </c>
      <c r="B19" t="inlineStr"/>
    </row>
    <row r="20">
      <c r="A20" t="inlineStr"/>
      <c r="B20" t="inlineStr"/>
    </row>
    <row r="21">
      <c r="A21">
        <f>== Cost breakdown (full -- if all fixed paid) ===</f>
        <v/>
      </c>
      <c r="B21" t="inlineStr"/>
    </row>
    <row r="22">
      <c r="A22" t="inlineStr">
        <is>
          <t>Full WH cost (all open) ($)</t>
        </is>
      </c>
      <c r="B22" t="n">
        <v>22046.49</v>
      </c>
    </row>
    <row r="23">
      <c r="A23" t="inlineStr">
        <is>
          <t>Full arc cost (all active) ($)</t>
        </is>
      </c>
      <c r="B23" t="n">
        <v>19638.46</v>
      </c>
    </row>
    <row r="24">
      <c r="A24" t="inlineStr">
        <is>
          <t>Total fixed cost (full) ($)</t>
        </is>
      </c>
      <c r="B24" t="n">
        <v>41684.95</v>
      </c>
    </row>
    <row r="25">
      <c r="A25" t="inlineStr"/>
      <c r="B25" t="inlineStr"/>
    </row>
    <row r="26">
      <c r="A26" t="inlineStr">
        <is>
          <t>Objective (raw, $)</t>
        </is>
      </c>
      <c r="B26" t="n">
        <v>4569112.47</v>
      </c>
    </row>
    <row r="27">
      <c r="A27" t="inlineStr"/>
      <c r="B27" t="inlineStr"/>
    </row>
    <row r="28">
      <c r="A28">
        <f>== Disruption vs Baseline ===</f>
        <v/>
      </c>
      <c r="B28" t="inlineStr"/>
    </row>
    <row r="29">
      <c r="A29" t="inlineStr">
        <is>
          <t>Z* Baseline Cost ($)</t>
        </is>
      </c>
      <c r="B29" t="n">
        <v>4454800.57</v>
      </c>
    </row>
    <row r="30">
      <c r="A30" t="inlineStr">
        <is>
          <t>DeltaZ Disruption Cost ($)</t>
        </is>
      </c>
      <c r="B30" t="n">
        <v>155996.85</v>
      </c>
    </row>
    <row r="31">
      <c r="A31" t="inlineStr">
        <is>
          <t>DeltaZ (%)</t>
        </is>
      </c>
      <c r="B31" t="n">
        <v>3.5</v>
      </c>
    </row>
    <row r="32">
      <c r="A32" t="inlineStr">
        <is>
          <t>Baseline variable cost (imputed) ($)</t>
        </is>
      </c>
      <c r="B32" t="n">
        <v>4413115.62</v>
      </c>
    </row>
    <row r="33">
      <c r="A33" t="inlineStr">
        <is>
          <t>Variable cost delta (R only) ($)</t>
        </is>
      </c>
      <c r="B33" t="n">
        <v>155996.85</v>
      </c>
    </row>
    <row r="34">
      <c r="A34" t="inlineStr"/>
      <c r="B34" t="inlineStr"/>
    </row>
    <row r="35">
      <c r="A35">
        <f>== Network changes vs Baseline ===</f>
        <v/>
      </c>
      <c r="B35" t="inlineStr"/>
    </row>
    <row r="36">
      <c r="A36" t="inlineStr">
        <is>
          <t>Removed Nodes</t>
        </is>
      </c>
      <c r="B36" t="inlineStr">
        <is>
          <t>none</t>
        </is>
      </c>
    </row>
    <row r="37">
      <c r="A37" t="inlineStr">
        <is>
          <t>Removed Arcs</t>
        </is>
      </c>
      <c r="B37" t="n">
        <v>0</v>
      </c>
    </row>
    <row r="38">
      <c r="A38" t="inlineStr">
        <is>
          <t>Stranded Suppliers</t>
        </is>
      </c>
      <c r="B38" t="inlineStr">
        <is>
          <t>none</t>
        </is>
      </c>
    </row>
    <row r="39">
      <c r="A39" t="inlineStr"/>
      <c r="B39" t="inlineStr"/>
    </row>
    <row r="40">
      <c r="A40" t="inlineStr">
        <is>
          <t>Warehouses Open (baseline)</t>
        </is>
      </c>
      <c r="B40" t="n">
        <v>14</v>
      </c>
    </row>
    <row r="41">
      <c r="A41" t="inlineStr">
        <is>
          <t>Warehouses Open (scenario)</t>
        </is>
      </c>
      <c r="B41" t="n">
        <v>14</v>
      </c>
    </row>
    <row r="42">
      <c r="A42" t="inlineStr">
        <is>
          <t xml:space="preserve">  WH kept</t>
        </is>
      </c>
      <c r="B42" t="inlineStr">
        <is>
          <t>14: ['W1', 'W10', 'W11', 'W12', 'W13', 'W14', 'W15', 'W2', 'W3', 'W4', 'W5', 'W6', 'W7', 'W8']</t>
        </is>
      </c>
    </row>
    <row r="43">
      <c r="A43" t="inlineStr">
        <is>
          <t xml:space="preserve">  WH newly opened</t>
        </is>
      </c>
      <c r="B43" t="inlineStr">
        <is>
          <t>0</t>
        </is>
      </c>
    </row>
    <row r="44">
      <c r="A44" t="inlineStr">
        <is>
          <t xml:space="preserve">  WH closed</t>
        </is>
      </c>
      <c r="B44" t="inlineStr">
        <is>
          <t>0</t>
        </is>
      </c>
    </row>
    <row r="45">
      <c r="A45" t="inlineStr">
        <is>
          <t xml:space="preserve">  New WH opening cost ($)</t>
        </is>
      </c>
      <c r="B45" t="n">
        <v>0</v>
      </c>
    </row>
    <row r="46">
      <c r="A46" t="inlineStr"/>
      <c r="B46" t="inlineStr"/>
    </row>
    <row r="47">
      <c r="A47" t="inlineStr">
        <is>
          <t>Optional arcs active (baseline)</t>
        </is>
      </c>
      <c r="B47" t="n">
        <v>11</v>
      </c>
    </row>
    <row r="48">
      <c r="A48" t="inlineStr">
        <is>
          <t>Optional arcs active (scenario)</t>
        </is>
      </c>
      <c r="B48" t="n">
        <v>11</v>
      </c>
    </row>
    <row r="49">
      <c r="A49" t="inlineStr">
        <is>
          <t xml:space="preserve">  Arcs kept</t>
        </is>
      </c>
      <c r="B49" t="n">
        <v>11</v>
      </c>
    </row>
    <row r="50">
      <c r="A50" t="inlineStr">
        <is>
          <t xml:space="preserve">  Arcs newly activated</t>
        </is>
      </c>
      <c r="B50" t="n">
        <v>0</v>
      </c>
    </row>
    <row r="51">
      <c r="A51" t="inlineStr">
        <is>
          <t xml:space="preserve">  Arcs deactivated</t>
        </is>
      </c>
      <c r="B51" t="n">
        <v>0</v>
      </c>
    </row>
    <row r="52">
      <c r="A52" t="inlineStr">
        <is>
          <t xml:space="preserve">  New arc activation cost ($)</t>
        </is>
      </c>
      <c r="B52" t="n">
        <v>0</v>
      </c>
    </row>
    <row r="53">
      <c r="A53" t="inlineStr"/>
      <c r="B53" t="inlineStr"/>
    </row>
    <row r="54">
      <c r="A54">
        <f>== Demand fulfilment ===</f>
        <v/>
      </c>
      <c r="B54" t="inlineStr"/>
    </row>
    <row r="55">
      <c r="A55" t="inlineStr">
        <is>
          <t>Demand Met - A_Fertilizers</t>
        </is>
      </c>
      <c r="B55" t="inlineStr">
        <is>
          <t>2082 / 2082</t>
        </is>
      </c>
    </row>
    <row r="56">
      <c r="A56" t="inlineStr">
        <is>
          <t>Demand Met - B_Semiconductors</t>
        </is>
      </c>
      <c r="B56" t="inlineStr">
        <is>
          <t>2222 / 2222</t>
        </is>
      </c>
    </row>
    <row r="57">
      <c r="A57" t="inlineStr">
        <is>
          <t>Demand Met - C_BatteryComponents</t>
        </is>
      </c>
      <c r="B57" t="inlineStr">
        <is>
          <t>1893 / 1893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A001</t>
        </is>
      </c>
      <c r="B2" t="inlineStr">
        <is>
          <t>S1</t>
        </is>
      </c>
      <c r="C2" t="inlineStr">
        <is>
          <t>H1</t>
        </is>
      </c>
      <c r="D2" t="inlineStr">
        <is>
          <t>A_Fertilizers</t>
        </is>
      </c>
      <c r="E2" t="n">
        <v>356</v>
      </c>
      <c r="F2" t="n">
        <v>437</v>
      </c>
      <c r="G2" t="n">
        <v>81.5</v>
      </c>
      <c r="H2" t="n">
        <v>50.05</v>
      </c>
      <c r="I2" t="n">
        <v>50.05</v>
      </c>
      <c r="J2" t="n">
        <v>0</v>
      </c>
      <c r="K2" t="n">
        <v>17817.8</v>
      </c>
      <c r="L2" t="inlineStr">
        <is>
          <t>sea</t>
        </is>
      </c>
      <c r="M2" t="n">
        <v>1355.2</v>
      </c>
      <c r="N2" t="inlineStr">
        <is>
          <t>no</t>
        </is>
      </c>
    </row>
    <row r="3">
      <c r="A3" t="inlineStr">
        <is>
          <t>A002</t>
        </is>
      </c>
      <c r="B3" t="inlineStr">
        <is>
          <t>S1</t>
        </is>
      </c>
      <c r="C3" t="inlineStr">
        <is>
          <t>H2</t>
        </is>
      </c>
      <c r="D3" t="inlineStr">
        <is>
          <t>A_Fertilizers</t>
        </is>
      </c>
      <c r="E3" t="n">
        <v>338</v>
      </c>
      <c r="F3" t="n">
        <v>414</v>
      </c>
      <c r="G3" t="n">
        <v>81.59999999999999</v>
      </c>
      <c r="H3" t="n">
        <v>137.05</v>
      </c>
      <c r="I3" t="n">
        <v>137.05</v>
      </c>
      <c r="J3" t="n">
        <v>0</v>
      </c>
      <c r="K3" t="n">
        <v>46322.9</v>
      </c>
      <c r="L3" t="inlineStr">
        <is>
          <t>sea</t>
        </is>
      </c>
      <c r="M3" t="n">
        <v>3926.2</v>
      </c>
      <c r="N3" t="inlineStr">
        <is>
          <t>no</t>
        </is>
      </c>
    </row>
    <row r="4">
      <c r="A4" t="inlineStr">
        <is>
          <t>A003</t>
        </is>
      </c>
      <c r="B4" t="inlineStr">
        <is>
          <t>S2</t>
        </is>
      </c>
      <c r="C4" t="inlineStr">
        <is>
          <t>H1</t>
        </is>
      </c>
      <c r="D4" t="inlineStr">
        <is>
          <t>A_Fertilizers</t>
        </is>
      </c>
      <c r="E4" t="n">
        <v>694</v>
      </c>
      <c r="F4" t="n">
        <v>903</v>
      </c>
      <c r="G4" t="n">
        <v>76.90000000000001</v>
      </c>
      <c r="H4" t="n">
        <v>80.38</v>
      </c>
      <c r="I4" t="n">
        <v>80.38</v>
      </c>
      <c r="J4" t="n">
        <v>0</v>
      </c>
      <c r="K4" t="n">
        <v>55783.72</v>
      </c>
      <c r="L4" t="inlineStr">
        <is>
          <t>sea</t>
        </is>
      </c>
      <c r="M4" t="n">
        <v>2269.5</v>
      </c>
      <c r="N4" t="inlineStr">
        <is>
          <t>no</t>
        </is>
      </c>
    </row>
    <row r="5">
      <c r="A5" t="inlineStr">
        <is>
          <t>A004</t>
        </is>
      </c>
      <c r="B5" t="inlineStr">
        <is>
          <t>S3</t>
        </is>
      </c>
      <c r="C5" t="inlineStr">
        <is>
          <t>H5</t>
        </is>
      </c>
      <c r="D5" t="inlineStr">
        <is>
          <t>A_Fertilizers</t>
        </is>
      </c>
      <c r="E5" t="n">
        <v>537</v>
      </c>
      <c r="F5" t="n">
        <v>808</v>
      </c>
      <c r="G5" t="n">
        <v>66.5</v>
      </c>
      <c r="H5" t="n">
        <v>155.73</v>
      </c>
      <c r="I5" t="n">
        <v>155.73</v>
      </c>
      <c r="J5" t="n">
        <v>0</v>
      </c>
      <c r="K5" t="n">
        <v>83627.00999999999</v>
      </c>
      <c r="L5" t="inlineStr">
        <is>
          <t>sea</t>
        </is>
      </c>
      <c r="M5" t="n">
        <v>4133.3</v>
      </c>
      <c r="N5" t="inlineStr">
        <is>
          <t>no</t>
        </is>
      </c>
    </row>
    <row r="6">
      <c r="A6" t="inlineStr">
        <is>
          <t>A005</t>
        </is>
      </c>
      <c r="B6" t="inlineStr">
        <is>
          <t>S3</t>
        </is>
      </c>
      <c r="C6" t="inlineStr">
        <is>
          <t>H4</t>
        </is>
      </c>
      <c r="D6" t="inlineStr">
        <is>
          <t>A_Fertilizers</t>
        </is>
      </c>
      <c r="E6" t="n">
        <v>157</v>
      </c>
      <c r="F6" t="n">
        <v>496</v>
      </c>
      <c r="G6" t="n">
        <v>31.7</v>
      </c>
      <c r="H6" t="n">
        <v>152.2</v>
      </c>
      <c r="I6" t="n">
        <v>152.2</v>
      </c>
      <c r="J6" t="n">
        <v>0</v>
      </c>
      <c r="K6" t="n">
        <v>23895.4</v>
      </c>
      <c r="L6" t="inlineStr">
        <is>
          <t>sea</t>
        </is>
      </c>
      <c r="M6" t="n">
        <v>4303.3</v>
      </c>
      <c r="N6" t="inlineStr">
        <is>
          <t>no</t>
        </is>
      </c>
    </row>
    <row r="7">
      <c r="A7" t="inlineStr">
        <is>
          <t>A032</t>
        </is>
      </c>
      <c r="B7" t="inlineStr">
        <is>
          <t>H1</t>
        </is>
      </c>
      <c r="C7" t="inlineStr">
        <is>
          <t>W1</t>
        </is>
      </c>
      <c r="D7" t="inlineStr">
        <is>
          <t>A_Fertilizers</t>
        </is>
      </c>
      <c r="E7" t="n">
        <v>351</v>
      </c>
      <c r="F7" t="n">
        <v>686</v>
      </c>
      <c r="G7" t="n">
        <v>51.2</v>
      </c>
      <c r="H7" t="n">
        <v>13.35</v>
      </c>
      <c r="I7" t="n">
        <v>13.35</v>
      </c>
      <c r="J7" t="n">
        <v>0</v>
      </c>
      <c r="K7" t="n">
        <v>4685.85</v>
      </c>
      <c r="L7" t="inlineStr">
        <is>
          <t>sea</t>
        </is>
      </c>
      <c r="M7" t="n">
        <v>356</v>
      </c>
      <c r="N7" t="inlineStr">
        <is>
          <t>no</t>
        </is>
      </c>
    </row>
    <row r="8">
      <c r="A8" t="inlineStr">
        <is>
          <t>A034</t>
        </is>
      </c>
      <c r="B8" t="inlineStr">
        <is>
          <t>H1</t>
        </is>
      </c>
      <c r="C8" t="inlineStr">
        <is>
          <t>W2</t>
        </is>
      </c>
      <c r="D8" t="inlineStr">
        <is>
          <t>A_Fertilizers</t>
        </is>
      </c>
      <c r="E8" t="n">
        <v>147</v>
      </c>
      <c r="F8" t="n">
        <v>755</v>
      </c>
      <c r="G8" t="n">
        <v>19.5</v>
      </c>
      <c r="H8" t="n">
        <v>50.5</v>
      </c>
      <c r="I8" t="n">
        <v>50.5</v>
      </c>
      <c r="J8" t="n">
        <v>0</v>
      </c>
      <c r="K8" t="n">
        <v>7423.5</v>
      </c>
      <c r="L8" t="inlineStr">
        <is>
          <t>sea</t>
        </is>
      </c>
      <c r="M8" t="n">
        <v>1445.3</v>
      </c>
      <c r="N8" t="inlineStr">
        <is>
          <t>no</t>
        </is>
      </c>
    </row>
    <row r="9">
      <c r="A9" t="inlineStr">
        <is>
          <t>A036</t>
        </is>
      </c>
      <c r="B9" t="inlineStr">
        <is>
          <t>H1</t>
        </is>
      </c>
      <c r="C9" t="inlineStr">
        <is>
          <t>W3</t>
        </is>
      </c>
      <c r="D9" t="inlineStr">
        <is>
          <t>A_Fertilizers</t>
        </is>
      </c>
      <c r="E9" t="n">
        <v>155</v>
      </c>
      <c r="F9" t="n">
        <v>1065</v>
      </c>
      <c r="G9" t="n">
        <v>14.6</v>
      </c>
      <c r="H9" t="n">
        <v>33.4</v>
      </c>
      <c r="I9" t="n">
        <v>33.4</v>
      </c>
      <c r="J9" t="n">
        <v>0</v>
      </c>
      <c r="K9" t="n">
        <v>5177</v>
      </c>
      <c r="L9" t="inlineStr">
        <is>
          <t>sea</t>
        </is>
      </c>
      <c r="M9" t="n">
        <v>890.2</v>
      </c>
      <c r="N9" t="inlineStr">
        <is>
          <t>no</t>
        </is>
      </c>
    </row>
    <row r="10">
      <c r="A10" t="inlineStr">
        <is>
          <t>A042</t>
        </is>
      </c>
      <c r="B10" t="inlineStr">
        <is>
          <t>H1</t>
        </is>
      </c>
      <c r="C10" t="inlineStr">
        <is>
          <t>W6</t>
        </is>
      </c>
      <c r="D10" t="inlineStr">
        <is>
          <t>A_Fertilizers</t>
        </is>
      </c>
      <c r="E10" t="n">
        <v>31</v>
      </c>
      <c r="F10" t="n">
        <v>937</v>
      </c>
      <c r="G10" t="n">
        <v>3.3</v>
      </c>
      <c r="H10" t="n">
        <v>334.34</v>
      </c>
      <c r="I10" t="n">
        <v>367.774</v>
      </c>
      <c r="J10" t="n">
        <v>33.434</v>
      </c>
      <c r="K10" t="n">
        <v>11400.99</v>
      </c>
      <c r="L10" t="inlineStr">
        <is>
          <t>sea</t>
        </is>
      </c>
      <c r="M10" t="n">
        <v>9236.9</v>
      </c>
      <c r="N10" t="inlineStr">
        <is>
          <t>no</t>
        </is>
      </c>
    </row>
    <row r="11">
      <c r="A11" t="inlineStr">
        <is>
          <t>A052</t>
        </is>
      </c>
      <c r="B11" t="inlineStr">
        <is>
          <t>H1</t>
        </is>
      </c>
      <c r="C11" t="inlineStr">
        <is>
          <t>W11</t>
        </is>
      </c>
      <c r="D11" t="inlineStr">
        <is>
          <t>A_Fertilizers</t>
        </is>
      </c>
      <c r="E11" t="n">
        <v>221</v>
      </c>
      <c r="F11" t="n">
        <v>542</v>
      </c>
      <c r="G11" t="n">
        <v>40.8</v>
      </c>
      <c r="H11" t="n">
        <v>232.72</v>
      </c>
      <c r="I11" t="n">
        <v>364.9072</v>
      </c>
      <c r="J11" t="n">
        <v>132.1872</v>
      </c>
      <c r="K11" t="n">
        <v>80644.49000000001</v>
      </c>
      <c r="L11" t="inlineStr">
        <is>
          <t>sea</t>
        </is>
      </c>
      <c r="M11" t="n">
        <v>6332.9</v>
      </c>
      <c r="N11" t="inlineStr">
        <is>
          <t>no</t>
        </is>
      </c>
    </row>
    <row r="12">
      <c r="A12" t="inlineStr">
        <is>
          <t>A054</t>
        </is>
      </c>
      <c r="B12" t="inlineStr">
        <is>
          <t>H1</t>
        </is>
      </c>
      <c r="C12" t="inlineStr">
        <is>
          <t>W12</t>
        </is>
      </c>
      <c r="D12" t="inlineStr">
        <is>
          <t>A_Fertilizers</t>
        </is>
      </c>
      <c r="E12" t="n">
        <v>145</v>
      </c>
      <c r="F12" t="n">
        <v>1048</v>
      </c>
      <c r="G12" t="n">
        <v>13.8</v>
      </c>
      <c r="H12" t="n">
        <v>229.9</v>
      </c>
      <c r="I12" t="n">
        <v>360.4832</v>
      </c>
      <c r="J12" t="n">
        <v>130.5832</v>
      </c>
      <c r="K12" t="n">
        <v>52270.06</v>
      </c>
      <c r="L12" t="inlineStr">
        <is>
          <t>sea</t>
        </is>
      </c>
      <c r="M12" t="n">
        <v>5844.8</v>
      </c>
      <c r="N12" t="inlineStr">
        <is>
          <t>no</t>
        </is>
      </c>
    </row>
    <row r="13">
      <c r="A13" t="inlineStr">
        <is>
          <t>A068</t>
        </is>
      </c>
      <c r="B13" t="inlineStr">
        <is>
          <t>H2</t>
        </is>
      </c>
      <c r="C13" t="inlineStr">
        <is>
          <t>W4</t>
        </is>
      </c>
      <c r="D13" t="inlineStr">
        <is>
          <t>A_Fertilizers</t>
        </is>
      </c>
      <c r="E13" t="n">
        <v>208</v>
      </c>
      <c r="F13" t="n">
        <v>931</v>
      </c>
      <c r="G13" t="n">
        <v>22.3</v>
      </c>
      <c r="H13" t="n">
        <v>66.52</v>
      </c>
      <c r="I13" t="n">
        <v>69.846</v>
      </c>
      <c r="J13" t="n">
        <v>3.326</v>
      </c>
      <c r="K13" t="n">
        <v>14527.97</v>
      </c>
      <c r="L13" t="inlineStr">
        <is>
          <t>sea</t>
        </is>
      </c>
      <c r="M13" t="n">
        <v>1935.1</v>
      </c>
      <c r="N13" t="inlineStr">
        <is>
          <t>no</t>
        </is>
      </c>
    </row>
    <row r="14">
      <c r="A14" t="inlineStr">
        <is>
          <t>A090</t>
        </is>
      </c>
      <c r="B14" t="inlineStr">
        <is>
          <t>H2</t>
        </is>
      </c>
      <c r="C14" t="inlineStr">
        <is>
          <t>W15</t>
        </is>
      </c>
      <c r="D14" t="inlineStr">
        <is>
          <t>A_Fertilizers</t>
        </is>
      </c>
      <c r="E14" t="n">
        <v>130</v>
      </c>
      <c r="F14" t="n">
        <v>933</v>
      </c>
      <c r="G14" t="n">
        <v>13.9</v>
      </c>
      <c r="H14" t="n">
        <v>98.28</v>
      </c>
      <c r="I14" t="n">
        <v>103.194</v>
      </c>
      <c r="J14" t="n">
        <v>4.914</v>
      </c>
      <c r="K14" t="n">
        <v>13415.22</v>
      </c>
      <c r="L14" t="inlineStr">
        <is>
          <t>sea</t>
        </is>
      </c>
      <c r="M14" t="n">
        <v>2704.5</v>
      </c>
      <c r="N14" t="inlineStr">
        <is>
          <t>no</t>
        </is>
      </c>
    </row>
    <row r="15">
      <c r="A15" t="inlineStr">
        <is>
          <t>A140</t>
        </is>
      </c>
      <c r="B15" t="inlineStr">
        <is>
          <t>H4</t>
        </is>
      </c>
      <c r="C15" t="inlineStr">
        <is>
          <t>W10</t>
        </is>
      </c>
      <c r="D15" t="inlineStr">
        <is>
          <t>A_Fertilizers</t>
        </is>
      </c>
      <c r="E15" t="n">
        <v>35</v>
      </c>
      <c r="F15" t="n">
        <v>770</v>
      </c>
      <c r="G15" t="n">
        <v>4.5</v>
      </c>
      <c r="H15" t="n">
        <v>50.35</v>
      </c>
      <c r="I15" t="n">
        <v>50.35</v>
      </c>
      <c r="J15" t="n">
        <v>0</v>
      </c>
      <c r="K15" t="n">
        <v>1762.25</v>
      </c>
      <c r="L15" t="inlineStr">
        <is>
          <t>sea</t>
        </is>
      </c>
      <c r="M15" t="n">
        <v>1516</v>
      </c>
      <c r="N15" t="inlineStr">
        <is>
          <t>no</t>
        </is>
      </c>
    </row>
    <row r="16">
      <c r="A16" t="inlineStr">
        <is>
          <t>A142</t>
        </is>
      </c>
      <c r="B16" t="inlineStr">
        <is>
          <t>H4</t>
        </is>
      </c>
      <c r="C16" t="inlineStr">
        <is>
          <t>W11</t>
        </is>
      </c>
      <c r="D16" t="inlineStr">
        <is>
          <t>A_Fertilizers</t>
        </is>
      </c>
      <c r="E16" t="n">
        <v>54</v>
      </c>
      <c r="F16" t="n">
        <v>698</v>
      </c>
      <c r="G16" t="n">
        <v>7.7</v>
      </c>
      <c r="H16" t="n">
        <v>22.88</v>
      </c>
      <c r="I16" t="n">
        <v>22.88</v>
      </c>
      <c r="J16" t="n">
        <v>0</v>
      </c>
      <c r="K16" t="n">
        <v>1235.52</v>
      </c>
      <c r="L16" t="inlineStr">
        <is>
          <t>sea</t>
        </is>
      </c>
      <c r="M16" t="n">
        <v>701.3</v>
      </c>
      <c r="N16" t="inlineStr">
        <is>
          <t>no</t>
        </is>
      </c>
    </row>
    <row r="17">
      <c r="A17" t="inlineStr">
        <is>
          <t>A146</t>
        </is>
      </c>
      <c r="B17" t="inlineStr">
        <is>
          <t>H4</t>
        </is>
      </c>
      <c r="C17" t="inlineStr">
        <is>
          <t>W13</t>
        </is>
      </c>
      <c r="D17" t="inlineStr">
        <is>
          <t>A_Fertilizers</t>
        </is>
      </c>
      <c r="E17" t="n">
        <v>68</v>
      </c>
      <c r="F17" t="n">
        <v>859</v>
      </c>
      <c r="G17" t="n">
        <v>7.9</v>
      </c>
      <c r="H17" t="n">
        <v>78.98999999999999</v>
      </c>
      <c r="I17" t="n">
        <v>78.98999999999999</v>
      </c>
      <c r="J17" t="n">
        <v>0</v>
      </c>
      <c r="K17" t="n">
        <v>5371.32</v>
      </c>
      <c r="L17" t="inlineStr">
        <is>
          <t>sea</t>
        </is>
      </c>
      <c r="M17" t="n">
        <v>2143.1</v>
      </c>
      <c r="N17" t="inlineStr">
        <is>
          <t>no</t>
        </is>
      </c>
    </row>
    <row r="18">
      <c r="A18" t="inlineStr">
        <is>
          <t>A178</t>
        </is>
      </c>
      <c r="B18" t="inlineStr">
        <is>
          <t>H5</t>
        </is>
      </c>
      <c r="C18" t="inlineStr">
        <is>
          <t>W14</t>
        </is>
      </c>
      <c r="D18" t="inlineStr">
        <is>
          <t>A_Fertilizers</t>
        </is>
      </c>
      <c r="E18" t="n">
        <v>537</v>
      </c>
      <c r="F18" t="n">
        <v>974</v>
      </c>
      <c r="G18" t="n">
        <v>55.1</v>
      </c>
      <c r="H18" t="n">
        <v>92.54000000000001</v>
      </c>
      <c r="I18" t="n">
        <v>92.54000000000001</v>
      </c>
      <c r="J18" t="n">
        <v>0</v>
      </c>
      <c r="K18" t="n">
        <v>49693.98</v>
      </c>
      <c r="L18" t="inlineStr">
        <is>
          <t>sea</t>
        </is>
      </c>
      <c r="M18" t="n">
        <v>2691.3</v>
      </c>
      <c r="N18" t="inlineStr">
        <is>
          <t>no</t>
        </is>
      </c>
    </row>
    <row r="19">
      <c r="A19" t="inlineStr">
        <is>
          <t>A202</t>
        </is>
      </c>
      <c r="B19" t="inlineStr">
        <is>
          <t>W4</t>
        </is>
      </c>
      <c r="C19" t="inlineStr">
        <is>
          <t>W7</t>
        </is>
      </c>
      <c r="D19" t="inlineStr">
        <is>
          <t>A_Fertilizers</t>
        </is>
      </c>
      <c r="E19" t="n">
        <v>13</v>
      </c>
      <c r="F19" t="n">
        <v>382</v>
      </c>
      <c r="G19" t="n">
        <v>3.4</v>
      </c>
      <c r="H19" t="n">
        <v>219.32</v>
      </c>
      <c r="I19" t="n">
        <v>219.32</v>
      </c>
      <c r="J19" t="n">
        <v>0</v>
      </c>
      <c r="K19" t="n">
        <v>2851.16</v>
      </c>
      <c r="L19" t="inlineStr">
        <is>
          <t>sea</t>
        </is>
      </c>
      <c r="M19" t="n">
        <v>6723.4</v>
      </c>
      <c r="N19" t="inlineStr">
        <is>
          <t>no</t>
        </is>
      </c>
    </row>
    <row r="20">
      <c r="A20" t="inlineStr">
        <is>
          <t>A204</t>
        </is>
      </c>
      <c r="B20" t="inlineStr">
        <is>
          <t>W4</t>
        </is>
      </c>
      <c r="C20" t="inlineStr">
        <is>
          <t>W8</t>
        </is>
      </c>
      <c r="D20" t="inlineStr">
        <is>
          <t>A_Fertilizers</t>
        </is>
      </c>
      <c r="E20" t="n">
        <v>13</v>
      </c>
      <c r="F20" t="n">
        <v>903</v>
      </c>
      <c r="G20" t="n">
        <v>1.4</v>
      </c>
      <c r="H20" t="n">
        <v>141.39</v>
      </c>
      <c r="I20" t="n">
        <v>141.39</v>
      </c>
      <c r="J20" t="n">
        <v>0</v>
      </c>
      <c r="K20" t="n">
        <v>1838.07</v>
      </c>
      <c r="L20" t="inlineStr">
        <is>
          <t>sea</t>
        </is>
      </c>
      <c r="M20" t="n">
        <v>4284.5</v>
      </c>
      <c r="N20" t="inlineStr">
        <is>
          <t>no</t>
        </is>
      </c>
    </row>
    <row r="21">
      <c r="A21" t="inlineStr">
        <is>
          <t>A225</t>
        </is>
      </c>
      <c r="B21" t="inlineStr">
        <is>
          <t>W11</t>
        </is>
      </c>
      <c r="C21" t="inlineStr">
        <is>
          <t>C1</t>
        </is>
      </c>
      <c r="D21" t="inlineStr">
        <is>
          <t>A_Fertilizers</t>
        </is>
      </c>
      <c r="E21" t="n">
        <v>87</v>
      </c>
      <c r="F21" t="n">
        <v>515</v>
      </c>
      <c r="G21" t="n">
        <v>16.9</v>
      </c>
      <c r="H21" t="n">
        <v>45.54</v>
      </c>
      <c r="I21" t="n">
        <v>45.54</v>
      </c>
      <c r="J21" t="n">
        <v>0</v>
      </c>
      <c r="K21" t="n">
        <v>3961.98</v>
      </c>
      <c r="L21" t="inlineStr">
        <is>
          <t>road</t>
        </is>
      </c>
      <c r="M21" t="n">
        <v>550</v>
      </c>
      <c r="N21" t="inlineStr">
        <is>
          <t>no</t>
        </is>
      </c>
    </row>
    <row r="22">
      <c r="A22" t="inlineStr">
        <is>
          <t>A229</t>
        </is>
      </c>
      <c r="B22" t="inlineStr">
        <is>
          <t>W12</t>
        </is>
      </c>
      <c r="C22" t="inlineStr">
        <is>
          <t>C2</t>
        </is>
      </c>
      <c r="D22" t="inlineStr">
        <is>
          <t>A_Fertilizers</t>
        </is>
      </c>
      <c r="E22" t="n">
        <v>62</v>
      </c>
      <c r="F22" t="n">
        <v>1122</v>
      </c>
      <c r="G22" t="n">
        <v>5.5</v>
      </c>
      <c r="H22" t="n">
        <v>141.94</v>
      </c>
      <c r="I22" t="n">
        <v>141.94</v>
      </c>
      <c r="J22" t="n">
        <v>0</v>
      </c>
      <c r="K22" t="n">
        <v>8800.280000000001</v>
      </c>
      <c r="L22" t="inlineStr">
        <is>
          <t>sea</t>
        </is>
      </c>
      <c r="M22" t="n">
        <v>3966.6</v>
      </c>
      <c r="N22" t="inlineStr">
        <is>
          <t>no</t>
        </is>
      </c>
    </row>
    <row r="23">
      <c r="A23" t="inlineStr">
        <is>
          <t>A234</t>
        </is>
      </c>
      <c r="B23" t="inlineStr">
        <is>
          <t>W11</t>
        </is>
      </c>
      <c r="C23" t="inlineStr">
        <is>
          <t>C3</t>
        </is>
      </c>
      <c r="D23" t="inlineStr">
        <is>
          <t>A_Fertilizers</t>
        </is>
      </c>
      <c r="E23" t="n">
        <v>49</v>
      </c>
      <c r="F23" t="n">
        <v>758</v>
      </c>
      <c r="G23" t="n">
        <v>6.5</v>
      </c>
      <c r="H23" t="n">
        <v>111.74</v>
      </c>
      <c r="I23" t="n">
        <v>111.74</v>
      </c>
      <c r="J23" t="n">
        <v>0</v>
      </c>
      <c r="K23" t="n">
        <v>5475.26</v>
      </c>
      <c r="L23" t="inlineStr">
        <is>
          <t>sea</t>
        </is>
      </c>
      <c r="M23" t="n">
        <v>3325.3</v>
      </c>
      <c r="N23" t="inlineStr">
        <is>
          <t>no</t>
        </is>
      </c>
    </row>
    <row r="24">
      <c r="A24" t="inlineStr">
        <is>
          <t>A235</t>
        </is>
      </c>
      <c r="B24" t="inlineStr">
        <is>
          <t>W12</t>
        </is>
      </c>
      <c r="C24" t="inlineStr">
        <is>
          <t>C4</t>
        </is>
      </c>
      <c r="D24" t="inlineStr">
        <is>
          <t>A_Fertilizers</t>
        </is>
      </c>
      <c r="E24" t="n">
        <v>83</v>
      </c>
      <c r="F24" t="n">
        <v>546</v>
      </c>
      <c r="G24" t="n">
        <v>15.2</v>
      </c>
      <c r="H24" t="n">
        <v>30.29</v>
      </c>
      <c r="I24" t="n">
        <v>30.29</v>
      </c>
      <c r="J24" t="n">
        <v>0</v>
      </c>
      <c r="K24" t="n">
        <v>2514.07</v>
      </c>
      <c r="L24" t="inlineStr">
        <is>
          <t>road</t>
        </is>
      </c>
      <c r="M24" t="n">
        <v>402.8</v>
      </c>
      <c r="N24" t="inlineStr">
        <is>
          <t>no</t>
        </is>
      </c>
    </row>
    <row r="25">
      <c r="A25" t="inlineStr">
        <is>
          <t>A239</t>
        </is>
      </c>
      <c r="B25" t="inlineStr">
        <is>
          <t>W11</t>
        </is>
      </c>
      <c r="C25" t="inlineStr">
        <is>
          <t>C5</t>
        </is>
      </c>
      <c r="D25" t="inlineStr">
        <is>
          <t>A_Fertilizers</t>
        </is>
      </c>
      <c r="E25" t="n">
        <v>60</v>
      </c>
      <c r="F25" t="n">
        <v>645</v>
      </c>
      <c r="G25" t="n">
        <v>9.300000000000001</v>
      </c>
      <c r="H25" t="n">
        <v>99.56</v>
      </c>
      <c r="I25" t="n">
        <v>99.56</v>
      </c>
      <c r="J25" t="n">
        <v>0</v>
      </c>
      <c r="K25" t="n">
        <v>5973.6</v>
      </c>
      <c r="L25" t="inlineStr">
        <is>
          <t>road</t>
        </is>
      </c>
      <c r="M25" t="n">
        <v>1183</v>
      </c>
      <c r="N25" t="inlineStr">
        <is>
          <t>no</t>
        </is>
      </c>
    </row>
    <row r="26">
      <c r="A26" t="inlineStr">
        <is>
          <t>A242</t>
        </is>
      </c>
      <c r="B26" t="inlineStr">
        <is>
          <t>W10</t>
        </is>
      </c>
      <c r="C26" t="inlineStr">
        <is>
          <t>C6</t>
        </is>
      </c>
      <c r="D26" t="inlineStr">
        <is>
          <t>A_Fertilizers</t>
        </is>
      </c>
      <c r="E26" t="n">
        <v>35</v>
      </c>
      <c r="F26" t="n">
        <v>549</v>
      </c>
      <c r="G26" t="n">
        <v>6.4</v>
      </c>
      <c r="H26" t="n">
        <v>28.97</v>
      </c>
      <c r="I26" t="n">
        <v>28.97</v>
      </c>
      <c r="J26" t="n">
        <v>0</v>
      </c>
      <c r="K26" t="n">
        <v>1013.95</v>
      </c>
      <c r="L26" t="inlineStr">
        <is>
          <t>road</t>
        </is>
      </c>
      <c r="M26" t="n">
        <v>362.3</v>
      </c>
      <c r="N26" t="inlineStr">
        <is>
          <t>no</t>
        </is>
      </c>
    </row>
    <row r="27">
      <c r="A27" t="inlineStr">
        <is>
          <t>A246</t>
        </is>
      </c>
      <c r="B27" t="inlineStr">
        <is>
          <t>W11</t>
        </is>
      </c>
      <c r="C27" t="inlineStr">
        <is>
          <t>C7</t>
        </is>
      </c>
      <c r="D27" t="inlineStr">
        <is>
          <t>A_Fertilizers</t>
        </is>
      </c>
      <c r="E27" t="n">
        <v>79</v>
      </c>
      <c r="F27" t="n">
        <v>1038</v>
      </c>
      <c r="G27" t="n">
        <v>7.6</v>
      </c>
      <c r="H27" t="n">
        <v>112.01</v>
      </c>
      <c r="I27" t="n">
        <v>112.01</v>
      </c>
      <c r="J27" t="n">
        <v>0</v>
      </c>
      <c r="K27" t="n">
        <v>8848.790000000001</v>
      </c>
      <c r="L27" t="inlineStr">
        <is>
          <t>sea</t>
        </is>
      </c>
      <c r="M27" t="n">
        <v>3359.3</v>
      </c>
      <c r="N27" t="inlineStr">
        <is>
          <t>no</t>
        </is>
      </c>
    </row>
    <row r="28">
      <c r="A28" t="inlineStr">
        <is>
          <t>A249</t>
        </is>
      </c>
      <c r="B28" t="inlineStr">
        <is>
          <t>W13</t>
        </is>
      </c>
      <c r="C28" t="inlineStr">
        <is>
          <t>C8</t>
        </is>
      </c>
      <c r="D28" t="inlineStr">
        <is>
          <t>A_Fertilizers</t>
        </is>
      </c>
      <c r="E28" t="n">
        <v>68</v>
      </c>
      <c r="F28" t="n">
        <v>828</v>
      </c>
      <c r="G28" t="n">
        <v>8.199999999999999</v>
      </c>
      <c r="H28" t="n">
        <v>107.89</v>
      </c>
      <c r="I28" t="n">
        <v>107.89</v>
      </c>
      <c r="J28" t="n">
        <v>0</v>
      </c>
      <c r="K28" t="n">
        <v>7336.52</v>
      </c>
      <c r="L28" t="inlineStr">
        <is>
          <t>sea</t>
        </is>
      </c>
      <c r="M28" t="n">
        <v>3052.5</v>
      </c>
      <c r="N28" t="inlineStr">
        <is>
          <t>no</t>
        </is>
      </c>
    </row>
    <row r="29">
      <c r="A29" t="inlineStr">
        <is>
          <t>A250</t>
        </is>
      </c>
      <c r="B29" t="inlineStr">
        <is>
          <t>W1</t>
        </is>
      </c>
      <c r="C29" t="inlineStr">
        <is>
          <t>C9</t>
        </is>
      </c>
      <c r="D29" t="inlineStr">
        <is>
          <t>A_Fertilizers</t>
        </is>
      </c>
      <c r="E29" t="n">
        <v>79</v>
      </c>
      <c r="F29" t="n">
        <v>1199</v>
      </c>
      <c r="G29" t="n">
        <v>6.6</v>
      </c>
      <c r="H29" t="n">
        <v>28.67</v>
      </c>
      <c r="I29" t="n">
        <v>28.67</v>
      </c>
      <c r="J29" t="n">
        <v>0</v>
      </c>
      <c r="K29" t="n">
        <v>2264.93</v>
      </c>
      <c r="L29" t="inlineStr">
        <is>
          <t>road</t>
        </is>
      </c>
      <c r="M29" t="n">
        <v>372.2</v>
      </c>
      <c r="N29" t="inlineStr">
        <is>
          <t>no</t>
        </is>
      </c>
    </row>
    <row r="30">
      <c r="A30" t="inlineStr">
        <is>
          <t>A253</t>
        </is>
      </c>
      <c r="B30" t="inlineStr">
        <is>
          <t>W1</t>
        </is>
      </c>
      <c r="C30" t="inlineStr">
        <is>
          <t>C10</t>
        </is>
      </c>
      <c r="D30" t="inlineStr">
        <is>
          <t>A_Fertilizers</t>
        </is>
      </c>
      <c r="E30" t="n">
        <v>30</v>
      </c>
      <c r="F30" t="n">
        <v>611</v>
      </c>
      <c r="G30" t="n">
        <v>4.9</v>
      </c>
      <c r="H30" t="n">
        <v>47.52</v>
      </c>
      <c r="I30" t="n">
        <v>47.52</v>
      </c>
      <c r="J30" t="n">
        <v>0</v>
      </c>
      <c r="K30" t="n">
        <v>1425.6</v>
      </c>
      <c r="L30" t="inlineStr">
        <is>
          <t>road</t>
        </is>
      </c>
      <c r="M30" t="n">
        <v>610.9</v>
      </c>
      <c r="N30" t="inlineStr">
        <is>
          <t>no</t>
        </is>
      </c>
    </row>
    <row r="31">
      <c r="A31" t="inlineStr">
        <is>
          <t>A255</t>
        </is>
      </c>
      <c r="B31" t="inlineStr">
        <is>
          <t>W1</t>
        </is>
      </c>
      <c r="C31" t="inlineStr">
        <is>
          <t>C11</t>
        </is>
      </c>
      <c r="D31" t="inlineStr">
        <is>
          <t>A_Fertilizers</t>
        </is>
      </c>
      <c r="E31" t="n">
        <v>109</v>
      </c>
      <c r="F31" t="n">
        <v>789</v>
      </c>
      <c r="G31" t="n">
        <v>13.8</v>
      </c>
      <c r="H31" t="n">
        <v>63.73</v>
      </c>
      <c r="I31" t="n">
        <v>63.73</v>
      </c>
      <c r="J31" t="n">
        <v>0</v>
      </c>
      <c r="K31" t="n">
        <v>6946.57</v>
      </c>
      <c r="L31" t="inlineStr">
        <is>
          <t>road</t>
        </is>
      </c>
      <c r="M31" t="n">
        <v>796.8</v>
      </c>
      <c r="N31" t="inlineStr">
        <is>
          <t>no</t>
        </is>
      </c>
    </row>
    <row r="32">
      <c r="A32" t="inlineStr">
        <is>
          <t>A258</t>
        </is>
      </c>
      <c r="B32" t="inlineStr">
        <is>
          <t>W1</t>
        </is>
      </c>
      <c r="C32" t="inlineStr">
        <is>
          <t>C12</t>
        </is>
      </c>
      <c r="D32" t="inlineStr">
        <is>
          <t>A_Fertilizers</t>
        </is>
      </c>
      <c r="E32" t="n">
        <v>73</v>
      </c>
      <c r="F32" t="n">
        <v>470</v>
      </c>
      <c r="G32" t="n">
        <v>15.5</v>
      </c>
      <c r="H32" t="n">
        <v>4.61</v>
      </c>
      <c r="I32" t="n">
        <v>4.61</v>
      </c>
      <c r="J32" t="n">
        <v>0</v>
      </c>
      <c r="K32" t="n">
        <v>336.53</v>
      </c>
      <c r="L32" t="inlineStr">
        <is>
          <t>road</t>
        </is>
      </c>
      <c r="M32" t="n">
        <v>57.7</v>
      </c>
      <c r="N32" t="inlineStr">
        <is>
          <t>no</t>
        </is>
      </c>
    </row>
    <row r="33">
      <c r="A33" t="inlineStr">
        <is>
          <t>A261</t>
        </is>
      </c>
      <c r="B33" t="inlineStr">
        <is>
          <t>W1</t>
        </is>
      </c>
      <c r="C33" t="inlineStr">
        <is>
          <t>C13</t>
        </is>
      </c>
      <c r="D33" t="inlineStr">
        <is>
          <t>A_Fertilizers</t>
        </is>
      </c>
      <c r="E33" t="n">
        <v>60</v>
      </c>
      <c r="F33" t="n">
        <v>510</v>
      </c>
      <c r="G33" t="n">
        <v>11.8</v>
      </c>
      <c r="H33" t="n">
        <v>9.949999999999999</v>
      </c>
      <c r="I33" t="n">
        <v>9.949999999999999</v>
      </c>
      <c r="J33" t="n">
        <v>0</v>
      </c>
      <c r="K33" t="n">
        <v>597</v>
      </c>
      <c r="L33" t="inlineStr">
        <is>
          <t>road</t>
        </is>
      </c>
      <c r="M33" t="n">
        <v>119.3</v>
      </c>
      <c r="N33" t="inlineStr">
        <is>
          <t>no</t>
        </is>
      </c>
    </row>
    <row r="34">
      <c r="A34" t="inlineStr">
        <is>
          <t>A264</t>
        </is>
      </c>
      <c r="B34" t="inlineStr">
        <is>
          <t>W3</t>
        </is>
      </c>
      <c r="C34" t="inlineStr">
        <is>
          <t>C14</t>
        </is>
      </c>
      <c r="D34" t="inlineStr">
        <is>
          <t>A_Fertilizers</t>
        </is>
      </c>
      <c r="E34" t="n">
        <v>61</v>
      </c>
      <c r="F34" t="n">
        <v>935</v>
      </c>
      <c r="G34" t="n">
        <v>6.5</v>
      </c>
      <c r="H34" t="n">
        <v>42.87</v>
      </c>
      <c r="I34" t="n">
        <v>42.87</v>
      </c>
      <c r="J34" t="n">
        <v>0</v>
      </c>
      <c r="K34" t="n">
        <v>2615.07</v>
      </c>
      <c r="L34" t="inlineStr">
        <is>
          <t>road</t>
        </is>
      </c>
      <c r="M34" t="n">
        <v>555.4</v>
      </c>
      <c r="N34" t="inlineStr">
        <is>
          <t>no</t>
        </is>
      </c>
    </row>
    <row r="35">
      <c r="A35" t="inlineStr">
        <is>
          <t>A269</t>
        </is>
      </c>
      <c r="B35" t="inlineStr">
        <is>
          <t>W3</t>
        </is>
      </c>
      <c r="C35" t="inlineStr">
        <is>
          <t>C15</t>
        </is>
      </c>
      <c r="D35" t="inlineStr">
        <is>
          <t>A_Fertilizers</t>
        </is>
      </c>
      <c r="E35" t="n">
        <v>94</v>
      </c>
      <c r="F35" t="n">
        <v>746</v>
      </c>
      <c r="G35" t="n">
        <v>12.6</v>
      </c>
      <c r="H35" t="n">
        <v>63.1</v>
      </c>
      <c r="I35" t="n">
        <v>63.1</v>
      </c>
      <c r="J35" t="n">
        <v>0</v>
      </c>
      <c r="K35" t="n">
        <v>5931.4</v>
      </c>
      <c r="L35" t="inlineStr">
        <is>
          <t>road</t>
        </is>
      </c>
      <c r="M35" t="n">
        <v>810.4</v>
      </c>
      <c r="N35" t="inlineStr">
        <is>
          <t>no</t>
        </is>
      </c>
    </row>
    <row r="36">
      <c r="A36" t="inlineStr">
        <is>
          <t>A274</t>
        </is>
      </c>
      <c r="B36" t="inlineStr">
        <is>
          <t>W2</t>
        </is>
      </c>
      <c r="C36" t="inlineStr">
        <is>
          <t>C16</t>
        </is>
      </c>
      <c r="D36" t="inlineStr">
        <is>
          <t>A_Fertilizers</t>
        </is>
      </c>
      <c r="E36" t="n">
        <v>71</v>
      </c>
      <c r="F36" t="n">
        <v>1087</v>
      </c>
      <c r="G36" t="n">
        <v>6.5</v>
      </c>
      <c r="H36" t="n">
        <v>39.1</v>
      </c>
      <c r="I36" t="n">
        <v>39.1</v>
      </c>
      <c r="J36" t="n">
        <v>0</v>
      </c>
      <c r="K36" t="n">
        <v>2776.1</v>
      </c>
      <c r="L36" t="inlineStr">
        <is>
          <t>road</t>
        </is>
      </c>
      <c r="M36" t="n">
        <v>504.9</v>
      </c>
      <c r="N36" t="inlineStr">
        <is>
          <t>no</t>
        </is>
      </c>
    </row>
    <row r="37">
      <c r="A37" t="inlineStr">
        <is>
          <t>A276</t>
        </is>
      </c>
      <c r="B37" t="inlineStr">
        <is>
          <t>W14</t>
        </is>
      </c>
      <c r="C37" t="inlineStr">
        <is>
          <t>C17</t>
        </is>
      </c>
      <c r="D37" t="inlineStr">
        <is>
          <t>A_Fertilizers</t>
        </is>
      </c>
      <c r="E37" t="n">
        <v>119</v>
      </c>
      <c r="F37" t="n">
        <v>773</v>
      </c>
      <c r="G37" t="n">
        <v>15.4</v>
      </c>
      <c r="H37" t="n">
        <v>162.03</v>
      </c>
      <c r="I37" t="n">
        <v>162.03</v>
      </c>
      <c r="J37" t="n">
        <v>0</v>
      </c>
      <c r="K37" t="n">
        <v>19281.57</v>
      </c>
      <c r="L37" t="inlineStr">
        <is>
          <t>road</t>
        </is>
      </c>
      <c r="M37" t="n">
        <v>1933.6</v>
      </c>
      <c r="N37" t="inlineStr">
        <is>
          <t>no</t>
        </is>
      </c>
    </row>
    <row r="38">
      <c r="A38" t="inlineStr">
        <is>
          <t>A278</t>
        </is>
      </c>
      <c r="B38" t="inlineStr">
        <is>
          <t>W14</t>
        </is>
      </c>
      <c r="C38" t="inlineStr">
        <is>
          <t>C18</t>
        </is>
      </c>
      <c r="D38" t="inlineStr">
        <is>
          <t>A_Fertilizers</t>
        </is>
      </c>
      <c r="E38" t="n">
        <v>139</v>
      </c>
      <c r="F38" t="n">
        <v>669</v>
      </c>
      <c r="G38" t="n">
        <v>20.8</v>
      </c>
      <c r="H38" t="n">
        <v>238.65</v>
      </c>
      <c r="I38" t="n">
        <v>238.65</v>
      </c>
      <c r="J38" t="n">
        <v>0</v>
      </c>
      <c r="K38" t="n">
        <v>33172.35</v>
      </c>
      <c r="L38" t="inlineStr">
        <is>
          <t>road</t>
        </is>
      </c>
      <c r="M38" t="n">
        <v>2853.9</v>
      </c>
      <c r="N38" t="inlineStr">
        <is>
          <t>no</t>
        </is>
      </c>
    </row>
    <row r="39">
      <c r="A39" t="inlineStr">
        <is>
          <t>A280</t>
        </is>
      </c>
      <c r="B39" t="inlineStr">
        <is>
          <t>W14</t>
        </is>
      </c>
      <c r="C39" t="inlineStr">
        <is>
          <t>C19</t>
        </is>
      </c>
      <c r="D39" t="inlineStr">
        <is>
          <t>A_Fertilizers</t>
        </is>
      </c>
      <c r="E39" t="n">
        <v>109</v>
      </c>
      <c r="F39" t="n">
        <v>1172</v>
      </c>
      <c r="G39" t="n">
        <v>9.300000000000001</v>
      </c>
      <c r="H39" t="n">
        <v>208.84</v>
      </c>
      <c r="I39" t="n">
        <v>208.84</v>
      </c>
      <c r="J39" t="n">
        <v>0</v>
      </c>
      <c r="K39" t="n">
        <v>22763.56</v>
      </c>
      <c r="L39" t="inlineStr">
        <is>
          <t>road</t>
        </is>
      </c>
      <c r="M39" t="n">
        <v>2557.7</v>
      </c>
      <c r="N39" t="inlineStr">
        <is>
          <t>no</t>
        </is>
      </c>
    </row>
    <row r="40">
      <c r="A40" t="inlineStr">
        <is>
          <t>A283</t>
        </is>
      </c>
      <c r="B40" t="inlineStr">
        <is>
          <t>W14</t>
        </is>
      </c>
      <c r="C40" t="inlineStr">
        <is>
          <t>C20</t>
        </is>
      </c>
      <c r="D40" t="inlineStr">
        <is>
          <t>A_Fertilizers</t>
        </is>
      </c>
      <c r="E40" t="n">
        <v>170</v>
      </c>
      <c r="F40" t="n">
        <v>1067</v>
      </c>
      <c r="G40" t="n">
        <v>15.9</v>
      </c>
      <c r="H40" t="n">
        <v>106.43</v>
      </c>
      <c r="I40" t="n">
        <v>106.43</v>
      </c>
      <c r="J40" t="n">
        <v>0</v>
      </c>
      <c r="K40" t="n">
        <v>18093.1</v>
      </c>
      <c r="L40" t="inlineStr">
        <is>
          <t>sea</t>
        </is>
      </c>
      <c r="M40" t="n">
        <v>3134.3</v>
      </c>
      <c r="N40" t="inlineStr">
        <is>
          <t>no</t>
        </is>
      </c>
    </row>
    <row r="41">
      <c r="A41" t="inlineStr">
        <is>
          <t>A286</t>
        </is>
      </c>
      <c r="B41" t="inlineStr">
        <is>
          <t>W2</t>
        </is>
      </c>
      <c r="C41" t="inlineStr">
        <is>
          <t>C21</t>
        </is>
      </c>
      <c r="D41" t="inlineStr">
        <is>
          <t>A_Fertilizers</t>
        </is>
      </c>
      <c r="E41" t="n">
        <v>76</v>
      </c>
      <c r="F41" t="n">
        <v>585</v>
      </c>
      <c r="G41" t="n">
        <v>13</v>
      </c>
      <c r="H41" t="n">
        <v>229.33</v>
      </c>
      <c r="I41" t="n">
        <v>356.3766</v>
      </c>
      <c r="J41" t="n">
        <v>127.0466</v>
      </c>
      <c r="K41" t="n">
        <v>27084.62</v>
      </c>
      <c r="L41" t="inlineStr">
        <is>
          <t>sea</t>
        </is>
      </c>
      <c r="M41" t="n">
        <v>6265.8</v>
      </c>
      <c r="N41" t="inlineStr">
        <is>
          <t>no</t>
        </is>
      </c>
    </row>
    <row r="42">
      <c r="A42" t="inlineStr">
        <is>
          <t>A288</t>
        </is>
      </c>
      <c r="B42" t="inlineStr">
        <is>
          <t>W7</t>
        </is>
      </c>
      <c r="C42" t="inlineStr">
        <is>
          <t>C22</t>
        </is>
      </c>
      <c r="D42" t="inlineStr">
        <is>
          <t>A_Fertilizers</t>
        </is>
      </c>
      <c r="E42" t="n">
        <v>13</v>
      </c>
      <c r="F42" t="n">
        <v>983</v>
      </c>
      <c r="G42" t="n">
        <v>1.3</v>
      </c>
      <c r="H42" t="n">
        <v>0.08</v>
      </c>
      <c r="I42" t="n">
        <v>0.08</v>
      </c>
      <c r="J42" t="n">
        <v>0</v>
      </c>
      <c r="K42" t="n">
        <v>1.04</v>
      </c>
      <c r="L42" t="inlineStr">
        <is>
          <t>road</t>
        </is>
      </c>
      <c r="M42" t="n">
        <v>1.1</v>
      </c>
      <c r="N42" t="inlineStr">
        <is>
          <t>no</t>
        </is>
      </c>
    </row>
    <row r="43">
      <c r="A43" t="inlineStr">
        <is>
          <t>A291</t>
        </is>
      </c>
      <c r="B43" t="inlineStr">
        <is>
          <t>W6</t>
        </is>
      </c>
      <c r="C43" t="inlineStr">
        <is>
          <t>C23</t>
        </is>
      </c>
      <c r="D43" t="inlineStr">
        <is>
          <t>A_Fertilizers</t>
        </is>
      </c>
      <c r="E43" t="n">
        <v>5</v>
      </c>
      <c r="F43" t="n">
        <v>868</v>
      </c>
      <c r="G43" t="n">
        <v>0.6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road</t>
        </is>
      </c>
      <c r="M43" t="n">
        <v>0</v>
      </c>
      <c r="N43" t="inlineStr">
        <is>
          <t>no</t>
        </is>
      </c>
    </row>
    <row r="44">
      <c r="A44" t="inlineStr">
        <is>
          <t>A294</t>
        </is>
      </c>
      <c r="B44" t="inlineStr">
        <is>
          <t>W6</t>
        </is>
      </c>
      <c r="C44" t="inlineStr">
        <is>
          <t>C24</t>
        </is>
      </c>
      <c r="D44" t="inlineStr">
        <is>
          <t>A_Fertilizers</t>
        </is>
      </c>
      <c r="E44" t="n">
        <v>14</v>
      </c>
      <c r="F44" t="n">
        <v>389</v>
      </c>
      <c r="G44" t="n">
        <v>3.6</v>
      </c>
      <c r="H44" t="n">
        <v>10.84</v>
      </c>
      <c r="I44" t="n">
        <v>10.84</v>
      </c>
      <c r="J44" t="n">
        <v>0</v>
      </c>
      <c r="K44" t="n">
        <v>151.76</v>
      </c>
      <c r="L44" t="inlineStr">
        <is>
          <t>road</t>
        </is>
      </c>
      <c r="M44" t="n">
        <v>139.6</v>
      </c>
      <c r="N44" t="inlineStr">
        <is>
          <t>no</t>
        </is>
      </c>
    </row>
    <row r="45">
      <c r="A45" t="inlineStr">
        <is>
          <t>A298</t>
        </is>
      </c>
      <c r="B45" t="inlineStr">
        <is>
          <t>W6</t>
        </is>
      </c>
      <c r="C45" t="inlineStr">
        <is>
          <t>C25</t>
        </is>
      </c>
      <c r="D45" t="inlineStr">
        <is>
          <t>A_Fertilizers</t>
        </is>
      </c>
      <c r="E45" t="n">
        <v>12</v>
      </c>
      <c r="F45" t="n">
        <v>341</v>
      </c>
      <c r="G45" t="n">
        <v>3.5</v>
      </c>
      <c r="H45" t="n">
        <v>37.5</v>
      </c>
      <c r="I45" t="n">
        <v>37.5</v>
      </c>
      <c r="J45" t="n">
        <v>0</v>
      </c>
      <c r="K45" t="n">
        <v>450</v>
      </c>
      <c r="L45" t="inlineStr">
        <is>
          <t>road</t>
        </is>
      </c>
      <c r="M45" t="n">
        <v>485</v>
      </c>
      <c r="N45" t="inlineStr">
        <is>
          <t>no</t>
        </is>
      </c>
    </row>
    <row r="46">
      <c r="A46" t="inlineStr">
        <is>
          <t>A305</t>
        </is>
      </c>
      <c r="B46" t="inlineStr">
        <is>
          <t>W8</t>
        </is>
      </c>
      <c r="C46" t="inlineStr">
        <is>
          <t>C26</t>
        </is>
      </c>
      <c r="D46" t="inlineStr">
        <is>
          <t>A_Fertilizers</t>
        </is>
      </c>
      <c r="E46" t="n">
        <v>13</v>
      </c>
      <c r="F46" t="n">
        <v>1084</v>
      </c>
      <c r="G46" t="n">
        <v>1.2</v>
      </c>
      <c r="H46" t="n">
        <v>111.19</v>
      </c>
      <c r="I46" t="n">
        <v>111.19</v>
      </c>
      <c r="J46" t="n">
        <v>0</v>
      </c>
      <c r="K46" t="n">
        <v>1445.47</v>
      </c>
      <c r="L46" t="inlineStr">
        <is>
          <t>sea</t>
        </is>
      </c>
      <c r="M46" t="n">
        <v>3393.8</v>
      </c>
      <c r="N46" t="inlineStr">
        <is>
          <t>no</t>
        </is>
      </c>
    </row>
    <row r="47">
      <c r="A47" t="inlineStr">
        <is>
          <t>A307</t>
        </is>
      </c>
      <c r="B47" t="inlineStr">
        <is>
          <t>W4</t>
        </is>
      </c>
      <c r="C47" t="inlineStr">
        <is>
          <t>C27</t>
        </is>
      </c>
      <c r="D47" t="inlineStr">
        <is>
          <t>A_Fertilizers</t>
        </is>
      </c>
      <c r="E47" t="n">
        <v>72</v>
      </c>
      <c r="F47" t="n">
        <v>517</v>
      </c>
      <c r="G47" t="n">
        <v>13.9</v>
      </c>
      <c r="H47" t="n">
        <v>98.16</v>
      </c>
      <c r="I47" t="n">
        <v>98.16</v>
      </c>
      <c r="J47" t="n">
        <v>0</v>
      </c>
      <c r="K47" t="n">
        <v>7067.52</v>
      </c>
      <c r="L47" t="inlineStr">
        <is>
          <t>road</t>
        </is>
      </c>
      <c r="M47" t="n">
        <v>1147.2</v>
      </c>
      <c r="N47" t="inlineStr">
        <is>
          <t>no</t>
        </is>
      </c>
    </row>
    <row r="48">
      <c r="A48" t="inlineStr">
        <is>
          <t>A309</t>
        </is>
      </c>
      <c r="B48" t="inlineStr">
        <is>
          <t>W4</t>
        </is>
      </c>
      <c r="C48" t="inlineStr">
        <is>
          <t>C28</t>
        </is>
      </c>
      <c r="D48" t="inlineStr">
        <is>
          <t>A_Fertilizers</t>
        </is>
      </c>
      <c r="E48" t="n">
        <v>110</v>
      </c>
      <c r="F48" t="n">
        <v>429</v>
      </c>
      <c r="G48" t="n">
        <v>25.6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road</t>
        </is>
      </c>
      <c r="M48" t="n">
        <v>0</v>
      </c>
      <c r="N48" t="inlineStr">
        <is>
          <t>no</t>
        </is>
      </c>
    </row>
    <row r="49">
      <c r="A49" t="inlineStr">
        <is>
          <t>A312</t>
        </is>
      </c>
      <c r="B49" t="inlineStr">
        <is>
          <t>W15</t>
        </is>
      </c>
      <c r="C49" t="inlineStr">
        <is>
          <t>C29</t>
        </is>
      </c>
      <c r="D49" t="inlineStr">
        <is>
          <t>A_Fertilizers</t>
        </is>
      </c>
      <c r="E49" t="n">
        <v>63</v>
      </c>
      <c r="F49" t="n">
        <v>1024</v>
      </c>
      <c r="G49" t="n">
        <v>6.2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road</t>
        </is>
      </c>
      <c r="M49" t="n">
        <v>0</v>
      </c>
      <c r="N49" t="inlineStr">
        <is>
          <t>no</t>
        </is>
      </c>
    </row>
    <row r="50">
      <c r="A50" t="inlineStr">
        <is>
          <t>A316</t>
        </is>
      </c>
      <c r="B50" t="inlineStr">
        <is>
          <t>W15</t>
        </is>
      </c>
      <c r="C50" t="inlineStr">
        <is>
          <t>C30</t>
        </is>
      </c>
      <c r="D50" t="inlineStr">
        <is>
          <t>A_Fertilizers</t>
        </is>
      </c>
      <c r="E50" t="n">
        <v>67</v>
      </c>
      <c r="F50" t="n">
        <v>875</v>
      </c>
      <c r="G50" t="n">
        <v>7.7</v>
      </c>
      <c r="H50" t="n">
        <v>117.01</v>
      </c>
      <c r="I50" t="n">
        <v>117.01</v>
      </c>
      <c r="J50" t="n">
        <v>0</v>
      </c>
      <c r="K50" t="n">
        <v>7839.67</v>
      </c>
      <c r="L50" t="inlineStr">
        <is>
          <t>road</t>
        </is>
      </c>
      <c r="M50" t="n">
        <v>1560.7</v>
      </c>
      <c r="N5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A006</t>
        </is>
      </c>
      <c r="B2" t="inlineStr">
        <is>
          <t>S4</t>
        </is>
      </c>
      <c r="C2" t="inlineStr">
        <is>
          <t>H3</t>
        </is>
      </c>
      <c r="D2" t="inlineStr">
        <is>
          <t>B_Semiconductors</t>
        </is>
      </c>
      <c r="E2" t="n">
        <v>741</v>
      </c>
      <c r="F2" t="n">
        <v>930</v>
      </c>
      <c r="G2" t="n">
        <v>79.7</v>
      </c>
      <c r="H2" t="n">
        <v>247.85</v>
      </c>
      <c r="I2" t="n">
        <v>247.85</v>
      </c>
      <c r="J2" t="n">
        <v>0</v>
      </c>
      <c r="K2" t="n">
        <v>183656.85</v>
      </c>
      <c r="L2" t="inlineStr">
        <is>
          <t>sea</t>
        </is>
      </c>
      <c r="M2" t="n">
        <v>3249.4</v>
      </c>
      <c r="N2" t="inlineStr">
        <is>
          <t>no</t>
        </is>
      </c>
    </row>
    <row r="3">
      <c r="A3" t="inlineStr">
        <is>
          <t>A007</t>
        </is>
      </c>
      <c r="B3" t="inlineStr">
        <is>
          <t>S5</t>
        </is>
      </c>
      <c r="C3" t="inlineStr">
        <is>
          <t>H3</t>
        </is>
      </c>
      <c r="D3" t="inlineStr">
        <is>
          <t>B_Semiconductors</t>
        </is>
      </c>
      <c r="E3" t="n">
        <v>741</v>
      </c>
      <c r="F3" t="n">
        <v>990</v>
      </c>
      <c r="G3" t="n">
        <v>74.8</v>
      </c>
      <c r="H3" t="n">
        <v>338.46</v>
      </c>
      <c r="I3" t="n">
        <v>338.46</v>
      </c>
      <c r="J3" t="n">
        <v>0</v>
      </c>
      <c r="K3" t="n">
        <v>250798.86</v>
      </c>
      <c r="L3" t="inlineStr">
        <is>
          <t>sea</t>
        </is>
      </c>
      <c r="M3" t="n">
        <v>4672.6</v>
      </c>
      <c r="N3" t="inlineStr">
        <is>
          <t>no</t>
        </is>
      </c>
    </row>
    <row r="4">
      <c r="A4" t="inlineStr">
        <is>
          <t>A008</t>
        </is>
      </c>
      <c r="B4" t="inlineStr">
        <is>
          <t>S6</t>
        </is>
      </c>
      <c r="C4" t="inlineStr">
        <is>
          <t>H3</t>
        </is>
      </c>
      <c r="D4" t="inlineStr">
        <is>
          <t>B_Semiconductors</t>
        </is>
      </c>
      <c r="E4" t="n">
        <v>740</v>
      </c>
      <c r="F4" t="n">
        <v>1000</v>
      </c>
      <c r="G4" t="n">
        <v>74</v>
      </c>
      <c r="H4" t="n">
        <v>387.71</v>
      </c>
      <c r="I4" t="n">
        <v>387.71</v>
      </c>
      <c r="J4" t="n">
        <v>0</v>
      </c>
      <c r="K4" t="n">
        <v>286905.4</v>
      </c>
      <c r="L4" t="inlineStr">
        <is>
          <t>sea</t>
        </is>
      </c>
      <c r="M4" t="n">
        <v>5294.6</v>
      </c>
      <c r="N4" t="inlineStr">
        <is>
          <t>no</t>
        </is>
      </c>
    </row>
    <row r="5">
      <c r="A5" t="inlineStr">
        <is>
          <t>A013</t>
        </is>
      </c>
      <c r="B5" t="inlineStr">
        <is>
          <t>H2</t>
        </is>
      </c>
      <c r="C5" t="inlineStr">
        <is>
          <t>H1</t>
        </is>
      </c>
      <c r="D5" t="inlineStr">
        <is>
          <t>B_Semiconductors</t>
        </is>
      </c>
      <c r="E5" t="n">
        <v>255</v>
      </c>
      <c r="F5" t="n">
        <v>1168</v>
      </c>
      <c r="G5" t="n">
        <v>21.8</v>
      </c>
      <c r="H5" t="n">
        <v>371.87</v>
      </c>
      <c r="I5" t="n">
        <v>394.1822</v>
      </c>
      <c r="J5" t="n">
        <v>22.3122</v>
      </c>
      <c r="K5" t="n">
        <v>100516.46</v>
      </c>
      <c r="L5" t="inlineStr">
        <is>
          <t>sea</t>
        </is>
      </c>
      <c r="M5" t="n">
        <v>4836.1</v>
      </c>
      <c r="N5" t="inlineStr">
        <is>
          <t>no</t>
        </is>
      </c>
    </row>
    <row r="6">
      <c r="A6" t="inlineStr">
        <is>
          <t>A032</t>
        </is>
      </c>
      <c r="B6" t="inlineStr">
        <is>
          <t>H1</t>
        </is>
      </c>
      <c r="C6" t="inlineStr">
        <is>
          <t>W1</t>
        </is>
      </c>
      <c r="D6" t="inlineStr">
        <is>
          <t>B_Semiconductors</t>
        </is>
      </c>
      <c r="E6" t="n">
        <v>255</v>
      </c>
      <c r="F6" t="n">
        <v>686</v>
      </c>
      <c r="G6" t="n">
        <v>37.2</v>
      </c>
      <c r="H6" t="n">
        <v>26.35</v>
      </c>
      <c r="I6" t="n">
        <v>26.35</v>
      </c>
      <c r="J6" t="n">
        <v>0</v>
      </c>
      <c r="K6" t="n">
        <v>6719.25</v>
      </c>
      <c r="L6" t="inlineStr">
        <is>
          <t>sea</t>
        </is>
      </c>
      <c r="M6" t="n">
        <v>356</v>
      </c>
      <c r="N6" t="inlineStr">
        <is>
          <t>no</t>
        </is>
      </c>
    </row>
    <row r="7">
      <c r="A7" t="inlineStr">
        <is>
          <t>A064</t>
        </is>
      </c>
      <c r="B7" t="inlineStr">
        <is>
          <t>H2</t>
        </is>
      </c>
      <c r="C7" t="inlineStr">
        <is>
          <t>W2</t>
        </is>
      </c>
      <c r="D7" t="inlineStr">
        <is>
          <t>B_Semiconductors</t>
        </is>
      </c>
      <c r="E7" t="n">
        <v>106</v>
      </c>
      <c r="F7" t="n">
        <v>491</v>
      </c>
      <c r="G7" t="n">
        <v>21.6</v>
      </c>
      <c r="H7" t="n">
        <v>446.29</v>
      </c>
      <c r="I7" t="n">
        <v>473.0674</v>
      </c>
      <c r="J7" t="n">
        <v>26.7774</v>
      </c>
      <c r="K7" t="n">
        <v>50145.14</v>
      </c>
      <c r="L7" t="inlineStr">
        <is>
          <t>sea</t>
        </is>
      </c>
      <c r="M7" t="n">
        <v>5655.8</v>
      </c>
      <c r="N7" t="inlineStr">
        <is>
          <t>no</t>
        </is>
      </c>
    </row>
    <row r="8">
      <c r="A8" t="inlineStr">
        <is>
          <t>A066</t>
        </is>
      </c>
      <c r="B8" t="inlineStr">
        <is>
          <t>H2</t>
        </is>
      </c>
      <c r="C8" t="inlineStr">
        <is>
          <t>W3</t>
        </is>
      </c>
      <c r="D8" t="inlineStr">
        <is>
          <t>B_Semiconductors</t>
        </is>
      </c>
      <c r="E8" t="n">
        <v>213</v>
      </c>
      <c r="F8" t="n">
        <v>606</v>
      </c>
      <c r="G8" t="n">
        <v>35.1</v>
      </c>
      <c r="H8" t="n">
        <v>312.08</v>
      </c>
      <c r="I8" t="n">
        <v>330.8048</v>
      </c>
      <c r="J8" t="n">
        <v>18.7248</v>
      </c>
      <c r="K8" t="n">
        <v>70461.42</v>
      </c>
      <c r="L8" t="inlineStr">
        <is>
          <t>sea</t>
        </is>
      </c>
      <c r="M8" t="n">
        <v>4156.6</v>
      </c>
      <c r="N8" t="inlineStr">
        <is>
          <t>no</t>
        </is>
      </c>
    </row>
    <row r="9">
      <c r="A9" t="inlineStr">
        <is>
          <t>A069</t>
        </is>
      </c>
      <c r="B9" t="inlineStr">
        <is>
          <t>W4</t>
        </is>
      </c>
      <c r="C9" t="inlineStr">
        <is>
          <t>H2</t>
        </is>
      </c>
      <c r="D9" t="inlineStr">
        <is>
          <t>B_Semiconductors</t>
        </is>
      </c>
      <c r="E9" t="n">
        <v>349</v>
      </c>
      <c r="F9" t="n">
        <v>549</v>
      </c>
      <c r="G9" t="n">
        <v>63.6</v>
      </c>
      <c r="H9" t="n">
        <v>154.5</v>
      </c>
      <c r="I9" t="n">
        <v>162.225</v>
      </c>
      <c r="J9" t="n">
        <v>7.725</v>
      </c>
      <c r="K9" t="n">
        <v>56616.53</v>
      </c>
      <c r="L9" t="inlineStr">
        <is>
          <t>sea</t>
        </is>
      </c>
      <c r="M9" t="n">
        <v>1935.1</v>
      </c>
      <c r="N9" t="inlineStr">
        <is>
          <t>no</t>
        </is>
      </c>
    </row>
    <row r="10">
      <c r="A10" t="inlineStr">
        <is>
          <t>A071</t>
        </is>
      </c>
      <c r="B10" t="inlineStr">
        <is>
          <t>W5</t>
        </is>
      </c>
      <c r="C10" t="inlineStr">
        <is>
          <t>H2</t>
        </is>
      </c>
      <c r="D10" t="inlineStr">
        <is>
          <t>B_Semiconductors</t>
        </is>
      </c>
      <c r="E10" t="n">
        <v>370</v>
      </c>
      <c r="F10" t="n">
        <v>1153</v>
      </c>
      <c r="G10" t="n">
        <v>32.1</v>
      </c>
      <c r="H10" t="n">
        <v>241.11</v>
      </c>
      <c r="I10" t="n">
        <v>253.1655</v>
      </c>
      <c r="J10" t="n">
        <v>12.0555</v>
      </c>
      <c r="K10" t="n">
        <v>93671.24000000001</v>
      </c>
      <c r="L10" t="inlineStr">
        <is>
          <t>sea</t>
        </is>
      </c>
      <c r="M10" t="n">
        <v>2943.8</v>
      </c>
      <c r="N10" t="inlineStr">
        <is>
          <t>no</t>
        </is>
      </c>
    </row>
    <row r="11">
      <c r="A11" t="inlineStr">
        <is>
          <t>A082</t>
        </is>
      </c>
      <c r="B11" t="inlineStr">
        <is>
          <t>H2</t>
        </is>
      </c>
      <c r="C11" t="inlineStr">
        <is>
          <t>W11</t>
        </is>
      </c>
      <c r="D11" t="inlineStr">
        <is>
          <t>B_Semiconductors</t>
        </is>
      </c>
      <c r="E11" t="n">
        <v>536</v>
      </c>
      <c r="F11" t="n">
        <v>923</v>
      </c>
      <c r="G11" t="n">
        <v>58.1</v>
      </c>
      <c r="H11" t="n">
        <v>884.54</v>
      </c>
      <c r="I11" t="n">
        <v>999.5302</v>
      </c>
      <c r="J11" t="n">
        <v>114.9902</v>
      </c>
      <c r="K11" t="n">
        <v>535748.1899999999</v>
      </c>
      <c r="L11" t="inlineStr">
        <is>
          <t>sea</t>
        </is>
      </c>
      <c r="M11" t="n">
        <v>11071.4</v>
      </c>
      <c r="N11" t="inlineStr">
        <is>
          <t>no</t>
        </is>
      </c>
    </row>
    <row r="12">
      <c r="A12" t="inlineStr">
        <is>
          <t>A084</t>
        </is>
      </c>
      <c r="B12" t="inlineStr">
        <is>
          <t>H2</t>
        </is>
      </c>
      <c r="C12" t="inlineStr">
        <is>
          <t>W12</t>
        </is>
      </c>
      <c r="D12" t="inlineStr">
        <is>
          <t>B_Semiconductors</t>
        </is>
      </c>
      <c r="E12" t="n">
        <v>97</v>
      </c>
      <c r="F12" t="n">
        <v>823</v>
      </c>
      <c r="G12" t="n">
        <v>11.8</v>
      </c>
      <c r="H12" t="n">
        <v>876.11</v>
      </c>
      <c r="I12" t="n">
        <v>990.0042999999999</v>
      </c>
      <c r="J12" t="n">
        <v>113.8943</v>
      </c>
      <c r="K12" t="n">
        <v>96030.42</v>
      </c>
      <c r="L12" t="inlineStr">
        <is>
          <t>sea</t>
        </is>
      </c>
      <c r="M12" t="n">
        <v>10607.6</v>
      </c>
      <c r="N12" t="inlineStr">
        <is>
          <t>no</t>
        </is>
      </c>
    </row>
    <row r="13">
      <c r="A13" t="inlineStr">
        <is>
          <t>A088</t>
        </is>
      </c>
      <c r="B13" t="inlineStr">
        <is>
          <t>H2</t>
        </is>
      </c>
      <c r="C13" t="inlineStr">
        <is>
          <t>W14</t>
        </is>
      </c>
      <c r="D13" t="inlineStr">
        <is>
          <t>B_Semiconductors</t>
        </is>
      </c>
      <c r="E13" t="n">
        <v>51</v>
      </c>
      <c r="F13" t="n">
        <v>971</v>
      </c>
      <c r="G13" t="n">
        <v>5.3</v>
      </c>
      <c r="H13" t="n">
        <v>1063.68</v>
      </c>
      <c r="I13" t="n">
        <v>1191.3216</v>
      </c>
      <c r="J13" t="n">
        <v>127.6416</v>
      </c>
      <c r="K13" t="n">
        <v>60757.4</v>
      </c>
      <c r="L13" t="inlineStr">
        <is>
          <t>sea</t>
        </is>
      </c>
      <c r="M13" t="n">
        <v>12692</v>
      </c>
      <c r="N13" t="inlineStr">
        <is>
          <t>no</t>
        </is>
      </c>
    </row>
    <row r="14">
      <c r="A14" t="inlineStr">
        <is>
          <t>A091</t>
        </is>
      </c>
      <c r="B14" t="inlineStr">
        <is>
          <t>W15</t>
        </is>
      </c>
      <c r="C14" t="inlineStr">
        <is>
          <t>H2</t>
        </is>
      </c>
      <c r="D14" t="inlineStr">
        <is>
          <t>B_Semiconductors</t>
        </is>
      </c>
      <c r="E14" t="n">
        <v>539</v>
      </c>
      <c r="F14" t="n">
        <v>544</v>
      </c>
      <c r="G14" t="n">
        <v>99.09999999999999</v>
      </c>
      <c r="H14" t="n">
        <v>218.67</v>
      </c>
      <c r="I14" t="n">
        <v>229.6035</v>
      </c>
      <c r="J14" t="n">
        <v>10.9335</v>
      </c>
      <c r="K14" t="n">
        <v>123756.29</v>
      </c>
      <c r="L14" t="inlineStr">
        <is>
          <t>sea</t>
        </is>
      </c>
      <c r="M14" t="n">
        <v>2704.5</v>
      </c>
      <c r="N14" t="inlineStr">
        <is>
          <t>no</t>
        </is>
      </c>
    </row>
    <row r="15">
      <c r="A15" t="inlineStr">
        <is>
          <t>A098</t>
        </is>
      </c>
      <c r="B15" t="inlineStr">
        <is>
          <t>H3</t>
        </is>
      </c>
      <c r="C15" t="inlineStr">
        <is>
          <t>W4</t>
        </is>
      </c>
      <c r="D15" t="inlineStr">
        <is>
          <t>B_Semiconductors</t>
        </is>
      </c>
      <c r="E15" t="n">
        <v>467</v>
      </c>
      <c r="F15" t="n">
        <v>467</v>
      </c>
      <c r="G15" t="n">
        <v>100</v>
      </c>
      <c r="H15" t="n">
        <v>270.25</v>
      </c>
      <c r="I15" t="n">
        <v>270.25</v>
      </c>
      <c r="J15" t="n">
        <v>0</v>
      </c>
      <c r="K15" t="n">
        <v>126206.75</v>
      </c>
      <c r="L15" t="inlineStr">
        <is>
          <t>sea</t>
        </is>
      </c>
      <c r="M15" t="n">
        <v>3903.9</v>
      </c>
      <c r="N15" t="inlineStr">
        <is>
          <t>no</t>
        </is>
      </c>
    </row>
    <row r="16">
      <c r="A16" t="inlineStr">
        <is>
          <t>A100</t>
        </is>
      </c>
      <c r="B16" t="inlineStr">
        <is>
          <t>H3</t>
        </is>
      </c>
      <c r="C16" t="inlineStr">
        <is>
          <t>W5</t>
        </is>
      </c>
      <c r="D16" t="inlineStr">
        <is>
          <t>B_Semiconductors</t>
        </is>
      </c>
      <c r="E16" t="n">
        <v>419</v>
      </c>
      <c r="F16" t="n">
        <v>736</v>
      </c>
      <c r="G16" t="n">
        <v>56.9</v>
      </c>
      <c r="H16" t="n">
        <v>214.81</v>
      </c>
      <c r="I16" t="n">
        <v>214.81</v>
      </c>
      <c r="J16" t="n">
        <v>0</v>
      </c>
      <c r="K16" t="n">
        <v>90005.39</v>
      </c>
      <c r="L16" t="inlineStr">
        <is>
          <t>sea</t>
        </is>
      </c>
      <c r="M16" t="n">
        <v>2902.4</v>
      </c>
      <c r="N16" t="inlineStr">
        <is>
          <t>no</t>
        </is>
      </c>
    </row>
    <row r="17">
      <c r="A17" t="inlineStr">
        <is>
          <t>A102</t>
        </is>
      </c>
      <c r="B17" t="inlineStr">
        <is>
          <t>H3</t>
        </is>
      </c>
      <c r="C17" t="inlineStr">
        <is>
          <t>W6</t>
        </is>
      </c>
      <c r="D17" t="inlineStr">
        <is>
          <t>B_Semiconductors</t>
        </is>
      </c>
      <c r="E17" t="n">
        <v>207</v>
      </c>
      <c r="F17" t="n">
        <v>1179</v>
      </c>
      <c r="G17" t="n">
        <v>17.6</v>
      </c>
      <c r="H17" t="n">
        <v>391.05</v>
      </c>
      <c r="I17" t="n">
        <v>391.05</v>
      </c>
      <c r="J17" t="n">
        <v>0</v>
      </c>
      <c r="K17" t="n">
        <v>80947.35000000001</v>
      </c>
      <c r="L17" t="inlineStr">
        <is>
          <t>sea</t>
        </is>
      </c>
      <c r="M17" t="n">
        <v>4951</v>
      </c>
      <c r="N17" t="inlineStr">
        <is>
          <t>no</t>
        </is>
      </c>
    </row>
    <row r="18">
      <c r="A18" t="inlineStr">
        <is>
          <t>A104</t>
        </is>
      </c>
      <c r="B18" t="inlineStr">
        <is>
          <t>H3</t>
        </is>
      </c>
      <c r="C18" t="inlineStr">
        <is>
          <t>W7</t>
        </is>
      </c>
      <c r="D18" t="inlineStr">
        <is>
          <t>B_Semiconductors</t>
        </is>
      </c>
      <c r="E18" t="n">
        <v>139</v>
      </c>
      <c r="F18" t="n">
        <v>555</v>
      </c>
      <c r="G18" t="n">
        <v>25</v>
      </c>
      <c r="H18" t="n">
        <v>400.12</v>
      </c>
      <c r="I18" t="n">
        <v>400.12</v>
      </c>
      <c r="J18" t="n">
        <v>0</v>
      </c>
      <c r="K18" t="n">
        <v>55616.68</v>
      </c>
      <c r="L18" t="inlineStr">
        <is>
          <t>sea</t>
        </is>
      </c>
      <c r="M18" t="n">
        <v>5314.5</v>
      </c>
      <c r="N18" t="inlineStr">
        <is>
          <t>no</t>
        </is>
      </c>
    </row>
    <row r="19">
      <c r="A19" t="inlineStr">
        <is>
          <t>A106</t>
        </is>
      </c>
      <c r="B19" t="inlineStr">
        <is>
          <t>H3</t>
        </is>
      </c>
      <c r="C19" t="inlineStr">
        <is>
          <t>W8</t>
        </is>
      </c>
      <c r="D19" t="inlineStr">
        <is>
          <t>B_Semiconductors</t>
        </is>
      </c>
      <c r="E19" t="n">
        <v>361</v>
      </c>
      <c r="F19" t="n">
        <v>475</v>
      </c>
      <c r="G19" t="n">
        <v>76</v>
      </c>
      <c r="H19" t="n">
        <v>195.57</v>
      </c>
      <c r="I19" t="n">
        <v>195.57</v>
      </c>
      <c r="J19" t="n">
        <v>0</v>
      </c>
      <c r="K19" t="n">
        <v>70600.77</v>
      </c>
      <c r="L19" t="inlineStr">
        <is>
          <t>sea</t>
        </is>
      </c>
      <c r="M19" t="n">
        <v>2603.2</v>
      </c>
      <c r="N19" t="inlineStr">
        <is>
          <t>no</t>
        </is>
      </c>
    </row>
    <row r="20">
      <c r="A20" t="inlineStr">
        <is>
          <t>A120</t>
        </is>
      </c>
      <c r="B20" t="inlineStr">
        <is>
          <t>H3</t>
        </is>
      </c>
      <c r="C20" t="inlineStr">
        <is>
          <t>W15</t>
        </is>
      </c>
      <c r="D20" t="inlineStr">
        <is>
          <t>B_Semiconductors</t>
        </is>
      </c>
      <c r="E20" t="n">
        <v>629</v>
      </c>
      <c r="F20" t="n">
        <v>722</v>
      </c>
      <c r="G20" t="n">
        <v>87.09999999999999</v>
      </c>
      <c r="H20" t="n">
        <v>235.89</v>
      </c>
      <c r="I20" t="n">
        <v>235.89</v>
      </c>
      <c r="J20" t="n">
        <v>0</v>
      </c>
      <c r="K20" t="n">
        <v>148374.81</v>
      </c>
      <c r="L20" t="inlineStr">
        <is>
          <t>sea</t>
        </is>
      </c>
      <c r="M20" t="n">
        <v>3164.1</v>
      </c>
      <c r="N20" t="inlineStr">
        <is>
          <t>no</t>
        </is>
      </c>
    </row>
    <row r="21">
      <c r="A21" t="inlineStr">
        <is>
          <t>A140</t>
        </is>
      </c>
      <c r="B21" t="inlineStr">
        <is>
          <t>H4</t>
        </is>
      </c>
      <c r="C21" t="inlineStr">
        <is>
          <t>W10</t>
        </is>
      </c>
      <c r="D21" t="inlineStr">
        <is>
          <t>B_Semiconductors</t>
        </is>
      </c>
      <c r="E21" t="n">
        <v>101</v>
      </c>
      <c r="F21" t="n">
        <v>770</v>
      </c>
      <c r="G21" t="n">
        <v>13.1</v>
      </c>
      <c r="H21" t="n">
        <v>108.5</v>
      </c>
      <c r="I21" t="n">
        <v>108.5</v>
      </c>
      <c r="J21" t="n">
        <v>0</v>
      </c>
      <c r="K21" t="n">
        <v>10958.5</v>
      </c>
      <c r="L21" t="inlineStr">
        <is>
          <t>sea</t>
        </is>
      </c>
      <c r="M21" t="n">
        <v>1516</v>
      </c>
      <c r="N21" t="inlineStr">
        <is>
          <t>no</t>
        </is>
      </c>
    </row>
    <row r="22">
      <c r="A22" t="inlineStr">
        <is>
          <t>A143</t>
        </is>
      </c>
      <c r="B22" t="inlineStr">
        <is>
          <t>W11</t>
        </is>
      </c>
      <c r="C22" t="inlineStr">
        <is>
          <t>H4</t>
        </is>
      </c>
      <c r="D22" t="inlineStr">
        <is>
          <t>B_Semiconductors</t>
        </is>
      </c>
      <c r="E22" t="n">
        <v>101</v>
      </c>
      <c r="F22" t="n">
        <v>1074</v>
      </c>
      <c r="G22" t="n">
        <v>9.4</v>
      </c>
      <c r="H22" t="n">
        <v>55.42</v>
      </c>
      <c r="I22" t="n">
        <v>55.42</v>
      </c>
      <c r="J22" t="n">
        <v>0</v>
      </c>
      <c r="K22" t="n">
        <v>5597.42</v>
      </c>
      <c r="L22" t="inlineStr">
        <is>
          <t>sea</t>
        </is>
      </c>
      <c r="M22" t="n">
        <v>701.3</v>
      </c>
      <c r="N22" t="inlineStr">
        <is>
          <t>no</t>
        </is>
      </c>
    </row>
    <row r="23">
      <c r="A23" t="inlineStr">
        <is>
          <t>A225</t>
        </is>
      </c>
      <c r="B23" t="inlineStr">
        <is>
          <t>W11</t>
        </is>
      </c>
      <c r="C23" t="inlineStr">
        <is>
          <t>C1</t>
        </is>
      </c>
      <c r="D23" t="inlineStr">
        <is>
          <t>B_Semiconductors</t>
        </is>
      </c>
      <c r="E23" t="n">
        <v>75</v>
      </c>
      <c r="F23" t="n">
        <v>515</v>
      </c>
      <c r="G23" t="n">
        <v>14.6</v>
      </c>
      <c r="H23" t="n">
        <v>53.02</v>
      </c>
      <c r="I23" t="n">
        <v>53.02</v>
      </c>
      <c r="J23" t="n">
        <v>0</v>
      </c>
      <c r="K23" t="n">
        <v>3976.5</v>
      </c>
      <c r="L23" t="inlineStr">
        <is>
          <t>road</t>
        </is>
      </c>
      <c r="M23" t="n">
        <v>550</v>
      </c>
      <c r="N23" t="inlineStr">
        <is>
          <t>no</t>
        </is>
      </c>
    </row>
    <row r="24">
      <c r="A24" t="inlineStr">
        <is>
          <t>A231</t>
        </is>
      </c>
      <c r="B24" t="inlineStr">
        <is>
          <t>W8</t>
        </is>
      </c>
      <c r="C24" t="inlineStr">
        <is>
          <t>C2</t>
        </is>
      </c>
      <c r="D24" t="inlineStr">
        <is>
          <t>B_Semiconductors</t>
        </is>
      </c>
      <c r="E24" t="n">
        <v>99</v>
      </c>
      <c r="F24" t="n">
        <v>1049</v>
      </c>
      <c r="G24" t="n">
        <v>9.4</v>
      </c>
      <c r="H24" t="n">
        <v>939.92</v>
      </c>
      <c r="I24" t="n">
        <v>1500.1146</v>
      </c>
      <c r="J24" t="n">
        <v>560.1946</v>
      </c>
      <c r="K24" t="n">
        <v>148511.35</v>
      </c>
      <c r="L24" t="inlineStr">
        <is>
          <t>sea</t>
        </is>
      </c>
      <c r="M24" t="n">
        <v>11639.4</v>
      </c>
      <c r="N24" t="inlineStr">
        <is>
          <t>no</t>
        </is>
      </c>
    </row>
    <row r="25">
      <c r="A25" t="inlineStr">
        <is>
          <t>A234</t>
        </is>
      </c>
      <c r="B25" t="inlineStr">
        <is>
          <t>W11</t>
        </is>
      </c>
      <c r="C25" t="inlineStr">
        <is>
          <t>C3</t>
        </is>
      </c>
      <c r="D25" t="inlineStr">
        <is>
          <t>B_Semiconductors</t>
        </is>
      </c>
      <c r="E25" t="n">
        <v>94</v>
      </c>
      <c r="F25" t="n">
        <v>758</v>
      </c>
      <c r="G25" t="n">
        <v>12.4</v>
      </c>
      <c r="H25" t="n">
        <v>254.79</v>
      </c>
      <c r="I25" t="n">
        <v>254.79</v>
      </c>
      <c r="J25" t="n">
        <v>0</v>
      </c>
      <c r="K25" t="n">
        <v>23950.26</v>
      </c>
      <c r="L25" t="inlineStr">
        <is>
          <t>sea</t>
        </is>
      </c>
      <c r="M25" t="n">
        <v>3325.3</v>
      </c>
      <c r="N25" t="inlineStr">
        <is>
          <t>no</t>
        </is>
      </c>
    </row>
    <row r="26">
      <c r="A26" t="inlineStr">
        <is>
          <t>A235</t>
        </is>
      </c>
      <c r="B26" t="inlineStr">
        <is>
          <t>W12</t>
        </is>
      </c>
      <c r="C26" t="inlineStr">
        <is>
          <t>C4</t>
        </is>
      </c>
      <c r="D26" t="inlineStr">
        <is>
          <t>B_Semiconductors</t>
        </is>
      </c>
      <c r="E26" t="n">
        <v>97</v>
      </c>
      <c r="F26" t="n">
        <v>546</v>
      </c>
      <c r="G26" t="n">
        <v>17.8</v>
      </c>
      <c r="H26" t="n">
        <v>37.45</v>
      </c>
      <c r="I26" t="n">
        <v>37.45</v>
      </c>
      <c r="J26" t="n">
        <v>0</v>
      </c>
      <c r="K26" t="n">
        <v>3632.65</v>
      </c>
      <c r="L26" t="inlineStr">
        <is>
          <t>road</t>
        </is>
      </c>
      <c r="M26" t="n">
        <v>402.8</v>
      </c>
      <c r="N26" t="inlineStr">
        <is>
          <t>no</t>
        </is>
      </c>
    </row>
    <row r="27">
      <c r="A27" t="inlineStr">
        <is>
          <t>A239</t>
        </is>
      </c>
      <c r="B27" t="inlineStr">
        <is>
          <t>W11</t>
        </is>
      </c>
      <c r="C27" t="inlineStr">
        <is>
          <t>C5</t>
        </is>
      </c>
      <c r="D27" t="inlineStr">
        <is>
          <t>B_Semiconductors</t>
        </is>
      </c>
      <c r="E27" t="n">
        <v>78</v>
      </c>
      <c r="F27" t="n">
        <v>645</v>
      </c>
      <c r="G27" t="n">
        <v>12.1</v>
      </c>
      <c r="H27" t="n">
        <v>105</v>
      </c>
      <c r="I27" t="n">
        <v>105</v>
      </c>
      <c r="J27" t="n">
        <v>0</v>
      </c>
      <c r="K27" t="n">
        <v>8190</v>
      </c>
      <c r="L27" t="inlineStr">
        <is>
          <t>road</t>
        </is>
      </c>
      <c r="M27" t="n">
        <v>1183</v>
      </c>
      <c r="N27" t="inlineStr">
        <is>
          <t>no</t>
        </is>
      </c>
    </row>
    <row r="28">
      <c r="A28" t="inlineStr">
        <is>
          <t>A242</t>
        </is>
      </c>
      <c r="B28" t="inlineStr">
        <is>
          <t>W10</t>
        </is>
      </c>
      <c r="C28" t="inlineStr">
        <is>
          <t>C6</t>
        </is>
      </c>
      <c r="D28" t="inlineStr">
        <is>
          <t>B_Semiconductors</t>
        </is>
      </c>
      <c r="E28" t="n">
        <v>101</v>
      </c>
      <c r="F28" t="n">
        <v>549</v>
      </c>
      <c r="G28" t="n">
        <v>18.4</v>
      </c>
      <c r="H28" t="n">
        <v>35.49</v>
      </c>
      <c r="I28" t="n">
        <v>35.49</v>
      </c>
      <c r="J28" t="n">
        <v>0</v>
      </c>
      <c r="K28" t="n">
        <v>3584.49</v>
      </c>
      <c r="L28" t="inlineStr">
        <is>
          <t>road</t>
        </is>
      </c>
      <c r="M28" t="n">
        <v>362.3</v>
      </c>
      <c r="N28" t="inlineStr">
        <is>
          <t>no</t>
        </is>
      </c>
    </row>
    <row r="29">
      <c r="A29" t="inlineStr">
        <is>
          <t>A246</t>
        </is>
      </c>
      <c r="B29" t="inlineStr">
        <is>
          <t>W11</t>
        </is>
      </c>
      <c r="C29" t="inlineStr">
        <is>
          <t>C7</t>
        </is>
      </c>
      <c r="D29" t="inlineStr">
        <is>
          <t>B_Semiconductors</t>
        </is>
      </c>
      <c r="E29" t="n">
        <v>105</v>
      </c>
      <c r="F29" t="n">
        <v>1038</v>
      </c>
      <c r="G29" t="n">
        <v>10.1</v>
      </c>
      <c r="H29" t="n">
        <v>256.25</v>
      </c>
      <c r="I29" t="n">
        <v>256.25</v>
      </c>
      <c r="J29" t="n">
        <v>0</v>
      </c>
      <c r="K29" t="n">
        <v>26906.25</v>
      </c>
      <c r="L29" t="inlineStr">
        <is>
          <t>sea</t>
        </is>
      </c>
      <c r="M29" t="n">
        <v>3359.3</v>
      </c>
      <c r="N29" t="inlineStr">
        <is>
          <t>no</t>
        </is>
      </c>
    </row>
    <row r="30">
      <c r="A30" t="inlineStr">
        <is>
          <t>A247</t>
        </is>
      </c>
      <c r="B30" t="inlineStr">
        <is>
          <t>W11</t>
        </is>
      </c>
      <c r="C30" t="inlineStr">
        <is>
          <t>C8</t>
        </is>
      </c>
      <c r="D30" t="inlineStr">
        <is>
          <t>B_Semiconductors</t>
        </is>
      </c>
      <c r="E30" t="n">
        <v>83</v>
      </c>
      <c r="F30" t="n">
        <v>555</v>
      </c>
      <c r="G30" t="n">
        <v>15</v>
      </c>
      <c r="H30" t="n">
        <v>270.02</v>
      </c>
      <c r="I30" t="n">
        <v>270.02</v>
      </c>
      <c r="J30" t="n">
        <v>0</v>
      </c>
      <c r="K30" t="n">
        <v>22411.66</v>
      </c>
      <c r="L30" t="inlineStr">
        <is>
          <t>road</t>
        </is>
      </c>
      <c r="M30" t="n">
        <v>2711.1</v>
      </c>
      <c r="N30" t="inlineStr">
        <is>
          <t>no</t>
        </is>
      </c>
    </row>
    <row r="31">
      <c r="A31" t="inlineStr">
        <is>
          <t>A250</t>
        </is>
      </c>
      <c r="B31" t="inlineStr">
        <is>
          <t>W1</t>
        </is>
      </c>
      <c r="C31" t="inlineStr">
        <is>
          <t>C9</t>
        </is>
      </c>
      <c r="D31" t="inlineStr">
        <is>
          <t>B_Semiconductors</t>
        </is>
      </c>
      <c r="E31" t="n">
        <v>86</v>
      </c>
      <c r="F31" t="n">
        <v>1199</v>
      </c>
      <c r="G31" t="n">
        <v>7.2</v>
      </c>
      <c r="H31" t="n">
        <v>34.29</v>
      </c>
      <c r="I31" t="n">
        <v>34.29</v>
      </c>
      <c r="J31" t="n">
        <v>0</v>
      </c>
      <c r="K31" t="n">
        <v>2948.94</v>
      </c>
      <c r="L31" t="inlineStr">
        <is>
          <t>road</t>
        </is>
      </c>
      <c r="M31" t="n">
        <v>372.2</v>
      </c>
      <c r="N31" t="inlineStr">
        <is>
          <t>no</t>
        </is>
      </c>
    </row>
    <row r="32">
      <c r="A32" t="inlineStr">
        <is>
          <t>A252</t>
        </is>
      </c>
      <c r="B32" t="inlineStr">
        <is>
          <t>W3</t>
        </is>
      </c>
      <c r="C32" t="inlineStr">
        <is>
          <t>C10</t>
        </is>
      </c>
      <c r="D32" t="inlineStr">
        <is>
          <t>B_Semiconductors</t>
        </is>
      </c>
      <c r="E32" t="n">
        <v>67</v>
      </c>
      <c r="F32" t="n">
        <v>785</v>
      </c>
      <c r="G32" t="n">
        <v>8.5</v>
      </c>
      <c r="H32" t="n">
        <v>52.57</v>
      </c>
      <c r="I32" t="n">
        <v>52.57</v>
      </c>
      <c r="J32" t="n">
        <v>0</v>
      </c>
      <c r="K32" t="n">
        <v>3522.19</v>
      </c>
      <c r="L32" t="inlineStr">
        <is>
          <t>road</t>
        </is>
      </c>
      <c r="M32" t="n">
        <v>517.4</v>
      </c>
      <c r="N32" t="inlineStr">
        <is>
          <t>no</t>
        </is>
      </c>
    </row>
    <row r="33">
      <c r="A33" t="inlineStr">
        <is>
          <t>A256</t>
        </is>
      </c>
      <c r="B33" t="inlineStr">
        <is>
          <t>W3</t>
        </is>
      </c>
      <c r="C33" t="inlineStr">
        <is>
          <t>C11</t>
        </is>
      </c>
      <c r="D33" t="inlineStr">
        <is>
          <t>B_Semiconductors</t>
        </is>
      </c>
      <c r="E33" t="n">
        <v>77</v>
      </c>
      <c r="F33" t="n">
        <v>710</v>
      </c>
      <c r="G33" t="n">
        <v>10.8</v>
      </c>
      <c r="H33" t="n">
        <v>109.93</v>
      </c>
      <c r="I33" t="n">
        <v>109.93</v>
      </c>
      <c r="J33" t="n">
        <v>0</v>
      </c>
      <c r="K33" t="n">
        <v>8464.610000000001</v>
      </c>
      <c r="L33" t="inlineStr">
        <is>
          <t>road</t>
        </is>
      </c>
      <c r="M33" t="n">
        <v>1144.1</v>
      </c>
      <c r="N33" t="inlineStr">
        <is>
          <t>no</t>
        </is>
      </c>
    </row>
    <row r="34">
      <c r="A34" t="inlineStr">
        <is>
          <t>A258</t>
        </is>
      </c>
      <c r="B34" t="inlineStr">
        <is>
          <t>W1</t>
        </is>
      </c>
      <c r="C34" t="inlineStr">
        <is>
          <t>C12</t>
        </is>
      </c>
      <c r="D34" t="inlineStr">
        <is>
          <t>B_Semiconductors</t>
        </is>
      </c>
      <c r="E34" t="n">
        <v>84</v>
      </c>
      <c r="F34" t="n">
        <v>470</v>
      </c>
      <c r="G34" t="n">
        <v>17.9</v>
      </c>
      <c r="H34" t="n">
        <v>5.88</v>
      </c>
      <c r="I34" t="n">
        <v>5.88</v>
      </c>
      <c r="J34" t="n">
        <v>0</v>
      </c>
      <c r="K34" t="n">
        <v>493.92</v>
      </c>
      <c r="L34" t="inlineStr">
        <is>
          <t>road</t>
        </is>
      </c>
      <c r="M34" t="n">
        <v>57.7</v>
      </c>
      <c r="N34" t="inlineStr">
        <is>
          <t>no</t>
        </is>
      </c>
    </row>
    <row r="35">
      <c r="A35" t="inlineStr">
        <is>
          <t>A261</t>
        </is>
      </c>
      <c r="B35" t="inlineStr">
        <is>
          <t>W1</t>
        </is>
      </c>
      <c r="C35" t="inlineStr">
        <is>
          <t>C13</t>
        </is>
      </c>
      <c r="D35" t="inlineStr">
        <is>
          <t>B_Semiconductors</t>
        </is>
      </c>
      <c r="E35" t="n">
        <v>85</v>
      </c>
      <c r="F35" t="n">
        <v>510</v>
      </c>
      <c r="G35" t="n">
        <v>16.7</v>
      </c>
      <c r="H35" t="n">
        <v>11.21</v>
      </c>
      <c r="I35" t="n">
        <v>11.21</v>
      </c>
      <c r="J35" t="n">
        <v>0</v>
      </c>
      <c r="K35" t="n">
        <v>952.85</v>
      </c>
      <c r="L35" t="inlineStr">
        <is>
          <t>road</t>
        </is>
      </c>
      <c r="M35" t="n">
        <v>119.3</v>
      </c>
      <c r="N35" t="inlineStr">
        <is>
          <t>no</t>
        </is>
      </c>
    </row>
    <row r="36">
      <c r="A36" t="inlineStr">
        <is>
          <t>A267</t>
        </is>
      </c>
      <c r="B36" t="inlineStr">
        <is>
          <t>W4</t>
        </is>
      </c>
      <c r="C36" t="inlineStr">
        <is>
          <t>C14</t>
        </is>
      </c>
      <c r="D36" t="inlineStr">
        <is>
          <t>B_Semiconductors</t>
        </is>
      </c>
      <c r="E36" t="n">
        <v>72</v>
      </c>
      <c r="F36" t="n">
        <v>1039</v>
      </c>
      <c r="G36" t="n">
        <v>6.9</v>
      </c>
      <c r="H36" t="n">
        <v>469.38</v>
      </c>
      <c r="I36" t="n">
        <v>516.318</v>
      </c>
      <c r="J36" t="n">
        <v>46.938</v>
      </c>
      <c r="K36" t="n">
        <v>37174.9</v>
      </c>
      <c r="L36" t="inlineStr">
        <is>
          <t>sea</t>
        </is>
      </c>
      <c r="M36" t="n">
        <v>5977.3</v>
      </c>
      <c r="N36" t="inlineStr">
        <is>
          <t>no</t>
        </is>
      </c>
    </row>
    <row r="37">
      <c r="A37" t="inlineStr">
        <is>
          <t>A269</t>
        </is>
      </c>
      <c r="B37" t="inlineStr">
        <is>
          <t>W3</t>
        </is>
      </c>
      <c r="C37" t="inlineStr">
        <is>
          <t>C15</t>
        </is>
      </c>
      <c r="D37" t="inlineStr">
        <is>
          <t>B_Semiconductors</t>
        </is>
      </c>
      <c r="E37" t="n">
        <v>69</v>
      </c>
      <c r="F37" t="n">
        <v>746</v>
      </c>
      <c r="G37" t="n">
        <v>9.199999999999999</v>
      </c>
      <c r="H37" t="n">
        <v>77.47</v>
      </c>
      <c r="I37" t="n">
        <v>77.47</v>
      </c>
      <c r="J37" t="n">
        <v>0</v>
      </c>
      <c r="K37" t="n">
        <v>5345.43</v>
      </c>
      <c r="L37" t="inlineStr">
        <is>
          <t>road</t>
        </is>
      </c>
      <c r="M37" t="n">
        <v>810.4</v>
      </c>
      <c r="N37" t="inlineStr">
        <is>
          <t>no</t>
        </is>
      </c>
    </row>
    <row r="38">
      <c r="A38" t="inlineStr">
        <is>
          <t>A274</t>
        </is>
      </c>
      <c r="B38" t="inlineStr">
        <is>
          <t>W2</t>
        </is>
      </c>
      <c r="C38" t="inlineStr">
        <is>
          <t>C16</t>
        </is>
      </c>
      <c r="D38" t="inlineStr">
        <is>
          <t>B_Semiconductors</t>
        </is>
      </c>
      <c r="E38" t="n">
        <v>81</v>
      </c>
      <c r="F38" t="n">
        <v>1087</v>
      </c>
      <c r="G38" t="n">
        <v>7.5</v>
      </c>
      <c r="H38" t="n">
        <v>50.92</v>
      </c>
      <c r="I38" t="n">
        <v>50.92</v>
      </c>
      <c r="J38" t="n">
        <v>0</v>
      </c>
      <c r="K38" t="n">
        <v>4124.52</v>
      </c>
      <c r="L38" t="inlineStr">
        <is>
          <t>road</t>
        </is>
      </c>
      <c r="M38" t="n">
        <v>504.9</v>
      </c>
      <c r="N38" t="inlineStr">
        <is>
          <t>no</t>
        </is>
      </c>
    </row>
    <row r="39">
      <c r="A39" t="inlineStr">
        <is>
          <t>A276</t>
        </is>
      </c>
      <c r="B39" t="inlineStr">
        <is>
          <t>W14</t>
        </is>
      </c>
      <c r="C39" t="inlineStr">
        <is>
          <t>C17</t>
        </is>
      </c>
      <c r="D39" t="inlineStr">
        <is>
          <t>B_Semiconductors</t>
        </is>
      </c>
      <c r="E39" t="n">
        <v>6</v>
      </c>
      <c r="F39" t="n">
        <v>773</v>
      </c>
      <c r="G39" t="n">
        <v>0.8</v>
      </c>
      <c r="H39" t="n">
        <v>192.32</v>
      </c>
      <c r="I39" t="n">
        <v>192.32</v>
      </c>
      <c r="J39" t="n">
        <v>0</v>
      </c>
      <c r="K39" t="n">
        <v>1153.92</v>
      </c>
      <c r="L39" t="inlineStr">
        <is>
          <t>road</t>
        </is>
      </c>
      <c r="M39" t="n">
        <v>1933.6</v>
      </c>
      <c r="N39" t="inlineStr">
        <is>
          <t>no</t>
        </is>
      </c>
    </row>
    <row r="40">
      <c r="A40" t="inlineStr">
        <is>
          <t>A278</t>
        </is>
      </c>
      <c r="B40" t="inlineStr">
        <is>
          <t>W14</t>
        </is>
      </c>
      <c r="C40" t="inlineStr">
        <is>
          <t>C18</t>
        </is>
      </c>
      <c r="D40" t="inlineStr">
        <is>
          <t>B_Semiconductors</t>
        </is>
      </c>
      <c r="E40" t="n">
        <v>8</v>
      </c>
      <c r="F40" t="n">
        <v>669</v>
      </c>
      <c r="G40" t="n">
        <v>1.2</v>
      </c>
      <c r="H40" t="n">
        <v>286.08</v>
      </c>
      <c r="I40" t="n">
        <v>286.08</v>
      </c>
      <c r="J40" t="n">
        <v>0</v>
      </c>
      <c r="K40" t="n">
        <v>2288.64</v>
      </c>
      <c r="L40" t="inlineStr">
        <is>
          <t>road</t>
        </is>
      </c>
      <c r="M40" t="n">
        <v>2853.9</v>
      </c>
      <c r="N40" t="inlineStr">
        <is>
          <t>no</t>
        </is>
      </c>
    </row>
    <row r="41">
      <c r="A41" t="inlineStr">
        <is>
          <t>A280</t>
        </is>
      </c>
      <c r="B41" t="inlineStr">
        <is>
          <t>W14</t>
        </is>
      </c>
      <c r="C41" t="inlineStr">
        <is>
          <t>C19</t>
        </is>
      </c>
      <c r="D41" t="inlineStr">
        <is>
          <t>B_Semiconductors</t>
        </is>
      </c>
      <c r="E41" t="n">
        <v>14</v>
      </c>
      <c r="F41" t="n">
        <v>1172</v>
      </c>
      <c r="G41" t="n">
        <v>1.2</v>
      </c>
      <c r="H41" t="n">
        <v>250.24</v>
      </c>
      <c r="I41" t="n">
        <v>250.24</v>
      </c>
      <c r="J41" t="n">
        <v>0</v>
      </c>
      <c r="K41" t="n">
        <v>3503.36</v>
      </c>
      <c r="L41" t="inlineStr">
        <is>
          <t>road</t>
        </is>
      </c>
      <c r="M41" t="n">
        <v>2557.7</v>
      </c>
      <c r="N41" t="inlineStr">
        <is>
          <t>no</t>
        </is>
      </c>
    </row>
    <row r="42">
      <c r="A42" t="inlineStr">
        <is>
          <t>A283</t>
        </is>
      </c>
      <c r="B42" t="inlineStr">
        <is>
          <t>W14</t>
        </is>
      </c>
      <c r="C42" t="inlineStr">
        <is>
          <t>C20</t>
        </is>
      </c>
      <c r="D42" t="inlineStr">
        <is>
          <t>B_Semiconductors</t>
        </is>
      </c>
      <c r="E42" t="n">
        <v>23</v>
      </c>
      <c r="F42" t="n">
        <v>1067</v>
      </c>
      <c r="G42" t="n">
        <v>2.2</v>
      </c>
      <c r="H42" t="n">
        <v>221.96</v>
      </c>
      <c r="I42" t="n">
        <v>221.96</v>
      </c>
      <c r="J42" t="n">
        <v>0</v>
      </c>
      <c r="K42" t="n">
        <v>5105.08</v>
      </c>
      <c r="L42" t="inlineStr">
        <is>
          <t>sea</t>
        </is>
      </c>
      <c r="M42" t="n">
        <v>3134.3</v>
      </c>
      <c r="N42" t="inlineStr">
        <is>
          <t>no</t>
        </is>
      </c>
    </row>
    <row r="43">
      <c r="A43" t="inlineStr">
        <is>
          <t>A286</t>
        </is>
      </c>
      <c r="B43" t="inlineStr">
        <is>
          <t>W2</t>
        </is>
      </c>
      <c r="C43" t="inlineStr">
        <is>
          <t>C21</t>
        </is>
      </c>
      <c r="D43" t="inlineStr">
        <is>
          <t>B_Semiconductors</t>
        </is>
      </c>
      <c r="E43" t="n">
        <v>25</v>
      </c>
      <c r="F43" t="n">
        <v>585</v>
      </c>
      <c r="G43" t="n">
        <v>4.3</v>
      </c>
      <c r="H43" t="n">
        <v>497.2</v>
      </c>
      <c r="I43" t="n">
        <v>772.6488000000001</v>
      </c>
      <c r="J43" t="n">
        <v>275.4488</v>
      </c>
      <c r="K43" t="n">
        <v>19316.22</v>
      </c>
      <c r="L43" t="inlineStr">
        <is>
          <t>sea</t>
        </is>
      </c>
      <c r="M43" t="n">
        <v>6265.8</v>
      </c>
      <c r="N43" t="inlineStr">
        <is>
          <t>no</t>
        </is>
      </c>
    </row>
    <row r="44">
      <c r="A44" t="inlineStr">
        <is>
          <t>A288</t>
        </is>
      </c>
      <c r="B44" t="inlineStr">
        <is>
          <t>W7</t>
        </is>
      </c>
      <c r="C44" t="inlineStr">
        <is>
          <t>C22</t>
        </is>
      </c>
      <c r="D44" t="inlineStr">
        <is>
          <t>B_Semiconductors</t>
        </is>
      </c>
      <c r="E44" t="n">
        <v>139</v>
      </c>
      <c r="F44" t="n">
        <v>983</v>
      </c>
      <c r="G44" t="n">
        <v>14.1</v>
      </c>
      <c r="H44" t="n">
        <v>0.11</v>
      </c>
      <c r="I44" t="n">
        <v>0.11</v>
      </c>
      <c r="J44" t="n">
        <v>0</v>
      </c>
      <c r="K44" t="n">
        <v>15.29</v>
      </c>
      <c r="L44" t="inlineStr">
        <is>
          <t>road</t>
        </is>
      </c>
      <c r="M44" t="n">
        <v>1.1</v>
      </c>
      <c r="N44" t="inlineStr">
        <is>
          <t>no</t>
        </is>
      </c>
    </row>
    <row r="45">
      <c r="A45" t="inlineStr">
        <is>
          <t>A291</t>
        </is>
      </c>
      <c r="B45" t="inlineStr">
        <is>
          <t>W6</t>
        </is>
      </c>
      <c r="C45" t="inlineStr">
        <is>
          <t>C23</t>
        </is>
      </c>
      <c r="D45" t="inlineStr">
        <is>
          <t>B_Semiconductors</t>
        </is>
      </c>
      <c r="E45" t="n">
        <v>109</v>
      </c>
      <c r="F45" t="n">
        <v>868</v>
      </c>
      <c r="G45" t="n">
        <v>12.6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road</t>
        </is>
      </c>
      <c r="M45" t="n">
        <v>0</v>
      </c>
      <c r="N45" t="inlineStr">
        <is>
          <t>no</t>
        </is>
      </c>
    </row>
    <row r="46">
      <c r="A46" t="inlineStr">
        <is>
          <t>A294</t>
        </is>
      </c>
      <c r="B46" t="inlineStr">
        <is>
          <t>W6</t>
        </is>
      </c>
      <c r="C46" t="inlineStr">
        <is>
          <t>C24</t>
        </is>
      </c>
      <c r="D46" t="inlineStr">
        <is>
          <t>B_Semiconductors</t>
        </is>
      </c>
      <c r="E46" t="n">
        <v>98</v>
      </c>
      <c r="F46" t="n">
        <v>389</v>
      </c>
      <c r="G46" t="n">
        <v>25.2</v>
      </c>
      <c r="H46" t="n">
        <v>13.08</v>
      </c>
      <c r="I46" t="n">
        <v>13.08</v>
      </c>
      <c r="J46" t="n">
        <v>0</v>
      </c>
      <c r="K46" t="n">
        <v>1281.84</v>
      </c>
      <c r="L46" t="inlineStr">
        <is>
          <t>road</t>
        </is>
      </c>
      <c r="M46" t="n">
        <v>139.6</v>
      </c>
      <c r="N46" t="inlineStr">
        <is>
          <t>no</t>
        </is>
      </c>
    </row>
    <row r="47">
      <c r="A47" t="inlineStr">
        <is>
          <t>A300</t>
        </is>
      </c>
      <c r="B47" t="inlineStr">
        <is>
          <t>W8</t>
        </is>
      </c>
      <c r="C47" t="inlineStr">
        <is>
          <t>C25</t>
        </is>
      </c>
      <c r="D47" t="inlineStr">
        <is>
          <t>B_Semiconductors</t>
        </is>
      </c>
      <c r="E47" t="n">
        <v>142</v>
      </c>
      <c r="F47" t="n">
        <v>564</v>
      </c>
      <c r="G47" t="n">
        <v>25.2</v>
      </c>
      <c r="H47" t="n">
        <v>184.25</v>
      </c>
      <c r="I47" t="n">
        <v>184.25</v>
      </c>
      <c r="J47" t="n">
        <v>0</v>
      </c>
      <c r="K47" t="n">
        <v>26163.5</v>
      </c>
      <c r="L47" t="inlineStr">
        <is>
          <t>road</t>
        </is>
      </c>
      <c r="M47" t="n">
        <v>2015.3</v>
      </c>
      <c r="N47" t="inlineStr">
        <is>
          <t>no</t>
        </is>
      </c>
    </row>
    <row r="48">
      <c r="A48" t="inlineStr">
        <is>
          <t>A305</t>
        </is>
      </c>
      <c r="B48" t="inlineStr">
        <is>
          <t>W8</t>
        </is>
      </c>
      <c r="C48" t="inlineStr">
        <is>
          <t>C26</t>
        </is>
      </c>
      <c r="D48" t="inlineStr">
        <is>
          <t>B_Semiconductors</t>
        </is>
      </c>
      <c r="E48" t="n">
        <v>120</v>
      </c>
      <c r="F48" t="n">
        <v>1084</v>
      </c>
      <c r="G48" t="n">
        <v>11.1</v>
      </c>
      <c r="H48" t="n">
        <v>265.56</v>
      </c>
      <c r="I48" t="n">
        <v>265.56</v>
      </c>
      <c r="J48" t="n">
        <v>0</v>
      </c>
      <c r="K48" t="n">
        <v>31867.2</v>
      </c>
      <c r="L48" t="inlineStr">
        <is>
          <t>sea</t>
        </is>
      </c>
      <c r="M48" t="n">
        <v>3393.8</v>
      </c>
      <c r="N48" t="inlineStr">
        <is>
          <t>no</t>
        </is>
      </c>
    </row>
    <row r="49">
      <c r="A49" t="inlineStr">
        <is>
          <t>A308</t>
        </is>
      </c>
      <c r="B49" t="inlineStr">
        <is>
          <t>W15</t>
        </is>
      </c>
      <c r="C49" t="inlineStr">
        <is>
          <t>C27</t>
        </is>
      </c>
      <c r="D49" t="inlineStr">
        <is>
          <t>B_Semiconductors</t>
        </is>
      </c>
      <c r="E49" t="n">
        <v>39</v>
      </c>
      <c r="F49" t="n">
        <v>1122</v>
      </c>
      <c r="G49" t="n">
        <v>3.5</v>
      </c>
      <c r="H49" t="n">
        <v>179.39</v>
      </c>
      <c r="I49" t="n">
        <v>179.39</v>
      </c>
      <c r="J49" t="n">
        <v>0</v>
      </c>
      <c r="K49" t="n">
        <v>6996.21</v>
      </c>
      <c r="L49" t="inlineStr">
        <is>
          <t>road</t>
        </is>
      </c>
      <c r="M49" t="n">
        <v>1739.5</v>
      </c>
      <c r="N49" t="inlineStr">
        <is>
          <t>no</t>
        </is>
      </c>
    </row>
    <row r="50">
      <c r="A50" t="inlineStr">
        <is>
          <t>A309</t>
        </is>
      </c>
      <c r="B50" t="inlineStr">
        <is>
          <t>W4</t>
        </is>
      </c>
      <c r="C50" t="inlineStr">
        <is>
          <t>C28</t>
        </is>
      </c>
      <c r="D50" t="inlineStr">
        <is>
          <t>B_Semiconductors</t>
        </is>
      </c>
      <c r="E50" t="n">
        <v>46</v>
      </c>
      <c r="F50" t="n">
        <v>429</v>
      </c>
      <c r="G50" t="n">
        <v>10.7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road</t>
        </is>
      </c>
      <c r="M50" t="n">
        <v>0</v>
      </c>
      <c r="N50" t="inlineStr">
        <is>
          <t>no</t>
        </is>
      </c>
    </row>
    <row r="51">
      <c r="A51" t="inlineStr">
        <is>
          <t>A312</t>
        </is>
      </c>
      <c r="B51" t="inlineStr">
        <is>
          <t>W15</t>
        </is>
      </c>
      <c r="C51" t="inlineStr">
        <is>
          <t>C29</t>
        </is>
      </c>
      <c r="D51" t="inlineStr">
        <is>
          <t>B_Semiconductors</t>
        </is>
      </c>
      <c r="E51" t="n">
        <v>51</v>
      </c>
      <c r="F51" t="n">
        <v>1024</v>
      </c>
      <c r="G51" t="n">
        <v>5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road</t>
        </is>
      </c>
      <c r="M51" t="n">
        <v>0</v>
      </c>
      <c r="N51" t="inlineStr">
        <is>
          <t>no</t>
        </is>
      </c>
    </row>
    <row r="52">
      <c r="A52" t="inlineStr">
        <is>
          <t>A315</t>
        </is>
      </c>
      <c r="B52" t="inlineStr">
        <is>
          <t>W5</t>
        </is>
      </c>
      <c r="C52" t="inlineStr">
        <is>
          <t>C30</t>
        </is>
      </c>
      <c r="D52" t="inlineStr">
        <is>
          <t>B_Semiconductors</t>
        </is>
      </c>
      <c r="E52" t="n">
        <v>49</v>
      </c>
      <c r="F52" t="n">
        <v>611</v>
      </c>
      <c r="G52" t="n">
        <v>8</v>
      </c>
      <c r="H52" t="n">
        <v>120.15</v>
      </c>
      <c r="I52" t="n">
        <v>120.15</v>
      </c>
      <c r="J52" t="n">
        <v>0</v>
      </c>
      <c r="K52" t="n">
        <v>5887.35</v>
      </c>
      <c r="L52" t="inlineStr">
        <is>
          <t>road</t>
        </is>
      </c>
      <c r="M52" t="n">
        <v>1358.2</v>
      </c>
      <c r="N5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A009</t>
        </is>
      </c>
      <c r="B2" t="inlineStr">
        <is>
          <t>S7</t>
        </is>
      </c>
      <c r="C2" t="inlineStr">
        <is>
          <t>H5</t>
        </is>
      </c>
      <c r="D2" t="inlineStr">
        <is>
          <t>C_BatteryComponents</t>
        </is>
      </c>
      <c r="E2" t="n">
        <v>631</v>
      </c>
      <c r="F2" t="n">
        <v>847</v>
      </c>
      <c r="G2" t="n">
        <v>74.5</v>
      </c>
      <c r="H2" t="n">
        <v>112.71</v>
      </c>
      <c r="I2" t="n">
        <v>112.71</v>
      </c>
      <c r="J2" t="n">
        <v>0</v>
      </c>
      <c r="K2" t="n">
        <v>71120.00999999999</v>
      </c>
      <c r="L2" t="inlineStr">
        <is>
          <t>sea</t>
        </is>
      </c>
      <c r="M2" t="n">
        <v>2419.2</v>
      </c>
      <c r="N2" t="inlineStr">
        <is>
          <t>no</t>
        </is>
      </c>
    </row>
    <row r="3">
      <c r="A3" t="inlineStr">
        <is>
          <t>A010</t>
        </is>
      </c>
      <c r="B3" t="inlineStr">
        <is>
          <t>S8</t>
        </is>
      </c>
      <c r="C3" t="inlineStr">
        <is>
          <t>H2</t>
        </is>
      </c>
      <c r="D3" t="inlineStr">
        <is>
          <t>C_BatteryComponents</t>
        </is>
      </c>
      <c r="E3" t="n">
        <v>631</v>
      </c>
      <c r="F3" t="n">
        <v>973</v>
      </c>
      <c r="G3" t="n">
        <v>64.90000000000001</v>
      </c>
      <c r="H3" t="n">
        <v>233.69</v>
      </c>
      <c r="I3" t="n">
        <v>233.69</v>
      </c>
      <c r="J3" t="n">
        <v>0</v>
      </c>
      <c r="K3" t="n">
        <v>147458.39</v>
      </c>
      <c r="L3" t="inlineStr">
        <is>
          <t>sea</t>
        </is>
      </c>
      <c r="M3" t="n">
        <v>5088.7</v>
      </c>
      <c r="N3" t="inlineStr">
        <is>
          <t>no</t>
        </is>
      </c>
    </row>
    <row r="4">
      <c r="A4" t="inlineStr">
        <is>
          <t>A011</t>
        </is>
      </c>
      <c r="B4" t="inlineStr">
        <is>
          <t>S9</t>
        </is>
      </c>
      <c r="C4" t="inlineStr">
        <is>
          <t>H3</t>
        </is>
      </c>
      <c r="D4" t="inlineStr">
        <is>
          <t>C_BatteryComponents</t>
        </is>
      </c>
      <c r="E4" t="n">
        <v>631</v>
      </c>
      <c r="F4" t="n">
        <v>1000</v>
      </c>
      <c r="G4" t="n">
        <v>63.1</v>
      </c>
      <c r="H4" t="n">
        <v>141.74</v>
      </c>
      <c r="I4" t="n">
        <v>141.74</v>
      </c>
      <c r="J4" t="n">
        <v>0</v>
      </c>
      <c r="K4" t="n">
        <v>89437.94</v>
      </c>
      <c r="L4" t="inlineStr">
        <is>
          <t>sea</t>
        </is>
      </c>
      <c r="M4" t="n">
        <v>3249.2</v>
      </c>
      <c r="N4" t="inlineStr">
        <is>
          <t>no</t>
        </is>
      </c>
    </row>
    <row r="5">
      <c r="A5" t="inlineStr">
        <is>
          <t>A013</t>
        </is>
      </c>
      <c r="B5" t="inlineStr">
        <is>
          <t>H2</t>
        </is>
      </c>
      <c r="C5" t="inlineStr">
        <is>
          <t>H1</t>
        </is>
      </c>
      <c r="D5" t="inlineStr">
        <is>
          <t>C_BatteryComponents</t>
        </is>
      </c>
      <c r="E5" t="n">
        <v>80</v>
      </c>
      <c r="F5" t="n">
        <v>1168</v>
      </c>
      <c r="G5" t="n">
        <v>6.8</v>
      </c>
      <c r="H5" t="n">
        <v>239.82</v>
      </c>
      <c r="I5" t="n">
        <v>254.2092</v>
      </c>
      <c r="J5" t="n">
        <v>14.3892</v>
      </c>
      <c r="K5" t="n">
        <v>20336.74</v>
      </c>
      <c r="L5" t="inlineStr">
        <is>
          <t>sea</t>
        </is>
      </c>
      <c r="M5" t="n">
        <v>4836.1</v>
      </c>
      <c r="N5" t="inlineStr">
        <is>
          <t>no</t>
        </is>
      </c>
    </row>
    <row r="6">
      <c r="A6" t="inlineStr">
        <is>
          <t>A032</t>
        </is>
      </c>
      <c r="B6" t="inlineStr">
        <is>
          <t>H1</t>
        </is>
      </c>
      <c r="C6" t="inlineStr">
        <is>
          <t>W1</t>
        </is>
      </c>
      <c r="D6" t="inlineStr">
        <is>
          <t>C_BatteryComponents</t>
        </is>
      </c>
      <c r="E6" t="n">
        <v>80</v>
      </c>
      <c r="F6" t="n">
        <v>686</v>
      </c>
      <c r="G6" t="n">
        <v>11.7</v>
      </c>
      <c r="H6" t="n">
        <v>16.64</v>
      </c>
      <c r="I6" t="n">
        <v>16.64</v>
      </c>
      <c r="J6" t="n">
        <v>0</v>
      </c>
      <c r="K6" t="n">
        <v>1331.2</v>
      </c>
      <c r="L6" t="inlineStr">
        <is>
          <t>sea</t>
        </is>
      </c>
      <c r="M6" t="n">
        <v>356</v>
      </c>
      <c r="N6" t="inlineStr">
        <is>
          <t>no</t>
        </is>
      </c>
    </row>
    <row r="7">
      <c r="A7" t="inlineStr">
        <is>
          <t>A062</t>
        </is>
      </c>
      <c r="B7" t="inlineStr">
        <is>
          <t>H2</t>
        </is>
      </c>
      <c r="C7" t="inlineStr">
        <is>
          <t>W1</t>
        </is>
      </c>
      <c r="D7" t="inlineStr">
        <is>
          <t>C_BatteryComponents</t>
        </is>
      </c>
      <c r="E7" t="n">
        <v>143</v>
      </c>
      <c r="F7" t="n">
        <v>1066</v>
      </c>
      <c r="G7" t="n">
        <v>13.4</v>
      </c>
      <c r="H7" t="n">
        <v>255.53</v>
      </c>
      <c r="I7" t="n">
        <v>270.8618</v>
      </c>
      <c r="J7" t="n">
        <v>15.3318</v>
      </c>
      <c r="K7" t="n">
        <v>38733.24</v>
      </c>
      <c r="L7" t="inlineStr">
        <is>
          <t>sea</t>
        </is>
      </c>
      <c r="M7" t="n">
        <v>5174.2</v>
      </c>
      <c r="N7" t="inlineStr">
        <is>
          <t>no</t>
        </is>
      </c>
    </row>
    <row r="8">
      <c r="A8" t="inlineStr">
        <is>
          <t>A064</t>
        </is>
      </c>
      <c r="B8" t="inlineStr">
        <is>
          <t>H2</t>
        </is>
      </c>
      <c r="C8" t="inlineStr">
        <is>
          <t>W2</t>
        </is>
      </c>
      <c r="D8" t="inlineStr">
        <is>
          <t>C_BatteryComponents</t>
        </is>
      </c>
      <c r="E8" t="n">
        <v>71</v>
      </c>
      <c r="F8" t="n">
        <v>491</v>
      </c>
      <c r="G8" t="n">
        <v>14.5</v>
      </c>
      <c r="H8" t="n">
        <v>266.16</v>
      </c>
      <c r="I8" t="n">
        <v>282.1296</v>
      </c>
      <c r="J8" t="n">
        <v>15.9696</v>
      </c>
      <c r="K8" t="n">
        <v>20031.2</v>
      </c>
      <c r="L8" t="inlineStr">
        <is>
          <t>sea</t>
        </is>
      </c>
      <c r="M8" t="n">
        <v>5655.8</v>
      </c>
      <c r="N8" t="inlineStr">
        <is>
          <t>no</t>
        </is>
      </c>
    </row>
    <row r="9">
      <c r="A9" t="inlineStr">
        <is>
          <t>A066</t>
        </is>
      </c>
      <c r="B9" t="inlineStr">
        <is>
          <t>H2</t>
        </is>
      </c>
      <c r="C9" t="inlineStr">
        <is>
          <t>W3</t>
        </is>
      </c>
      <c r="D9" t="inlineStr">
        <is>
          <t>C_BatteryComponents</t>
        </is>
      </c>
      <c r="E9" t="n">
        <v>280</v>
      </c>
      <c r="F9" t="n">
        <v>606</v>
      </c>
      <c r="G9" t="n">
        <v>46.2</v>
      </c>
      <c r="H9" t="n">
        <v>211.69</v>
      </c>
      <c r="I9" t="n">
        <v>224.3914</v>
      </c>
      <c r="J9" t="n">
        <v>12.7014</v>
      </c>
      <c r="K9" t="n">
        <v>62829.59</v>
      </c>
      <c r="L9" t="inlineStr">
        <is>
          <t>sea</t>
        </is>
      </c>
      <c r="M9" t="n">
        <v>4156.6</v>
      </c>
      <c r="N9" t="inlineStr">
        <is>
          <t>no</t>
        </is>
      </c>
    </row>
    <row r="10">
      <c r="A10" t="inlineStr">
        <is>
          <t>A084</t>
        </is>
      </c>
      <c r="B10" t="inlineStr">
        <is>
          <t>H2</t>
        </is>
      </c>
      <c r="C10" t="inlineStr">
        <is>
          <t>W12</t>
        </is>
      </c>
      <c r="D10" t="inlineStr">
        <is>
          <t>C_BatteryComponents</t>
        </is>
      </c>
      <c r="E10" t="n">
        <v>57</v>
      </c>
      <c r="F10" t="n">
        <v>823</v>
      </c>
      <c r="G10" t="n">
        <v>6.9</v>
      </c>
      <c r="H10" t="n">
        <v>528.1799999999999</v>
      </c>
      <c r="I10" t="n">
        <v>596.8434</v>
      </c>
      <c r="J10" t="n">
        <v>68.6634</v>
      </c>
      <c r="K10" t="n">
        <v>34020.07</v>
      </c>
      <c r="L10" t="inlineStr">
        <is>
          <t>sea</t>
        </is>
      </c>
      <c r="M10" t="n">
        <v>10607.6</v>
      </c>
      <c r="N10" t="inlineStr">
        <is>
          <t>no</t>
        </is>
      </c>
    </row>
    <row r="11">
      <c r="A11" t="inlineStr">
        <is>
          <t>A100</t>
        </is>
      </c>
      <c r="B11" t="inlineStr">
        <is>
          <t>H3</t>
        </is>
      </c>
      <c r="C11" t="inlineStr">
        <is>
          <t>W5</t>
        </is>
      </c>
      <c r="D11" t="inlineStr">
        <is>
          <t>C_BatteryComponents</t>
        </is>
      </c>
      <c r="E11" t="n">
        <v>58</v>
      </c>
      <c r="F11" t="n">
        <v>736</v>
      </c>
      <c r="G11" t="n">
        <v>7.9</v>
      </c>
      <c r="H11" t="n">
        <v>122.57</v>
      </c>
      <c r="I11" t="n">
        <v>122.57</v>
      </c>
      <c r="J11" t="n">
        <v>0</v>
      </c>
      <c r="K11" t="n">
        <v>7109.06</v>
      </c>
      <c r="L11" t="inlineStr">
        <is>
          <t>sea</t>
        </is>
      </c>
      <c r="M11" t="n">
        <v>2902.4</v>
      </c>
      <c r="N11" t="inlineStr">
        <is>
          <t>no</t>
        </is>
      </c>
    </row>
    <row r="12">
      <c r="A12" t="inlineStr">
        <is>
          <t>A102</t>
        </is>
      </c>
      <c r="B12" t="inlineStr">
        <is>
          <t>H3</t>
        </is>
      </c>
      <c r="C12" t="inlineStr">
        <is>
          <t>W6</t>
        </is>
      </c>
      <c r="D12" t="inlineStr">
        <is>
          <t>C_BatteryComponents</t>
        </is>
      </c>
      <c r="E12" t="n">
        <v>299</v>
      </c>
      <c r="F12" t="n">
        <v>1179</v>
      </c>
      <c r="G12" t="n">
        <v>25.4</v>
      </c>
      <c r="H12" t="n">
        <v>237.76</v>
      </c>
      <c r="I12" t="n">
        <v>237.76</v>
      </c>
      <c r="J12" t="n">
        <v>0</v>
      </c>
      <c r="K12" t="n">
        <v>71090.24000000001</v>
      </c>
      <c r="L12" t="inlineStr">
        <is>
          <t>sea</t>
        </is>
      </c>
      <c r="M12" t="n">
        <v>4951</v>
      </c>
      <c r="N12" t="inlineStr">
        <is>
          <t>no</t>
        </is>
      </c>
    </row>
    <row r="13">
      <c r="A13" t="inlineStr">
        <is>
          <t>A104</t>
        </is>
      </c>
      <c r="B13" t="inlineStr">
        <is>
          <t>H3</t>
        </is>
      </c>
      <c r="C13" t="inlineStr">
        <is>
          <t>W7</t>
        </is>
      </c>
      <c r="D13" t="inlineStr">
        <is>
          <t>C_BatteryComponents</t>
        </is>
      </c>
      <c r="E13" t="n">
        <v>100</v>
      </c>
      <c r="F13" t="n">
        <v>555</v>
      </c>
      <c r="G13" t="n">
        <v>18</v>
      </c>
      <c r="H13" t="n">
        <v>235.16</v>
      </c>
      <c r="I13" t="n">
        <v>235.16</v>
      </c>
      <c r="J13" t="n">
        <v>0</v>
      </c>
      <c r="K13" t="n">
        <v>23516</v>
      </c>
      <c r="L13" t="inlineStr">
        <is>
          <t>sea</t>
        </is>
      </c>
      <c r="M13" t="n">
        <v>5314.5</v>
      </c>
      <c r="N13" t="inlineStr">
        <is>
          <t>no</t>
        </is>
      </c>
    </row>
    <row r="14">
      <c r="A14" t="inlineStr">
        <is>
          <t>A106</t>
        </is>
      </c>
      <c r="B14" t="inlineStr">
        <is>
          <t>H3</t>
        </is>
      </c>
      <c r="C14" t="inlineStr">
        <is>
          <t>W8</t>
        </is>
      </c>
      <c r="D14" t="inlineStr">
        <is>
          <t>C_BatteryComponents</t>
        </is>
      </c>
      <c r="E14" t="n">
        <v>94</v>
      </c>
      <c r="F14" t="n">
        <v>475</v>
      </c>
      <c r="G14" t="n">
        <v>19.8</v>
      </c>
      <c r="H14" t="n">
        <v>109.91</v>
      </c>
      <c r="I14" t="n">
        <v>109.91</v>
      </c>
      <c r="J14" t="n">
        <v>0</v>
      </c>
      <c r="K14" t="n">
        <v>10331.54</v>
      </c>
      <c r="L14" t="inlineStr">
        <is>
          <t>sea</t>
        </is>
      </c>
      <c r="M14" t="n">
        <v>2603.2</v>
      </c>
      <c r="N14" t="inlineStr">
        <is>
          <t>no</t>
        </is>
      </c>
    </row>
    <row r="15">
      <c r="A15" t="inlineStr">
        <is>
          <t>A120</t>
        </is>
      </c>
      <c r="B15" t="inlineStr">
        <is>
          <t>H3</t>
        </is>
      </c>
      <c r="C15" t="inlineStr">
        <is>
          <t>W15</t>
        </is>
      </c>
      <c r="D15" t="inlineStr">
        <is>
          <t>C_BatteryComponents</t>
        </is>
      </c>
      <c r="E15" t="n">
        <v>80</v>
      </c>
      <c r="F15" t="n">
        <v>722</v>
      </c>
      <c r="G15" t="n">
        <v>11.1</v>
      </c>
      <c r="H15" t="n">
        <v>143.62</v>
      </c>
      <c r="I15" t="n">
        <v>143.62</v>
      </c>
      <c r="J15" t="n">
        <v>0</v>
      </c>
      <c r="K15" t="n">
        <v>11489.6</v>
      </c>
      <c r="L15" t="inlineStr">
        <is>
          <t>sea</t>
        </is>
      </c>
      <c r="M15" t="n">
        <v>3164.1</v>
      </c>
      <c r="N15" t="inlineStr">
        <is>
          <t>no</t>
        </is>
      </c>
    </row>
    <row r="16">
      <c r="A16" t="inlineStr">
        <is>
          <t>A170</t>
        </is>
      </c>
      <c r="B16" t="inlineStr">
        <is>
          <t>H5</t>
        </is>
      </c>
      <c r="C16" t="inlineStr">
        <is>
          <t>W10</t>
        </is>
      </c>
      <c r="D16" t="inlineStr">
        <is>
          <t>C_BatteryComponents</t>
        </is>
      </c>
      <c r="E16" t="n">
        <v>207</v>
      </c>
      <c r="F16" t="n">
        <v>683</v>
      </c>
      <c r="G16" t="n">
        <v>30.3</v>
      </c>
      <c r="H16" t="n">
        <v>364.45</v>
      </c>
      <c r="I16" t="n">
        <v>379.028</v>
      </c>
      <c r="J16" t="n">
        <v>14.578</v>
      </c>
      <c r="K16" t="n">
        <v>78458.8</v>
      </c>
      <c r="L16" t="inlineStr">
        <is>
          <t>sea</t>
        </is>
      </c>
      <c r="M16" t="n">
        <v>7888.6</v>
      </c>
      <c r="N16" t="inlineStr">
        <is>
          <t>no</t>
        </is>
      </c>
    </row>
    <row r="17">
      <c r="A17" t="inlineStr">
        <is>
          <t>A172</t>
        </is>
      </c>
      <c r="B17" t="inlineStr">
        <is>
          <t>H5</t>
        </is>
      </c>
      <c r="C17" t="inlineStr">
        <is>
          <t>W11</t>
        </is>
      </c>
      <c r="D17" t="inlineStr">
        <is>
          <t>C_BatteryComponents</t>
        </is>
      </c>
      <c r="E17" t="n">
        <v>150</v>
      </c>
      <c r="F17" t="n">
        <v>883</v>
      </c>
      <c r="G17" t="n">
        <v>17</v>
      </c>
      <c r="H17" t="n">
        <v>353.45</v>
      </c>
      <c r="I17" t="n">
        <v>367.588</v>
      </c>
      <c r="J17" t="n">
        <v>14.138</v>
      </c>
      <c r="K17" t="n">
        <v>55138.2</v>
      </c>
      <c r="L17" t="inlineStr">
        <is>
          <t>sea</t>
        </is>
      </c>
      <c r="M17" t="n">
        <v>8185.7</v>
      </c>
      <c r="N17" t="inlineStr">
        <is>
          <t>no</t>
        </is>
      </c>
    </row>
    <row r="18">
      <c r="A18" t="inlineStr">
        <is>
          <t>A176</t>
        </is>
      </c>
      <c r="B18" t="inlineStr">
        <is>
          <t>H5</t>
        </is>
      </c>
      <c r="C18" t="inlineStr">
        <is>
          <t>W13</t>
        </is>
      </c>
      <c r="D18" t="inlineStr">
        <is>
          <t>C_BatteryComponents</t>
        </is>
      </c>
      <c r="E18" t="n">
        <v>125</v>
      </c>
      <c r="F18" t="n">
        <v>449</v>
      </c>
      <c r="G18" t="n">
        <v>27.8</v>
      </c>
      <c r="H18" t="n">
        <v>374.05</v>
      </c>
      <c r="I18" t="n">
        <v>389.012</v>
      </c>
      <c r="J18" t="n">
        <v>14.962</v>
      </c>
      <c r="K18" t="n">
        <v>48626.5</v>
      </c>
      <c r="L18" t="inlineStr">
        <is>
          <t>sea</t>
        </is>
      </c>
      <c r="M18" t="n">
        <v>7959.4</v>
      </c>
      <c r="N18" t="inlineStr">
        <is>
          <t>no</t>
        </is>
      </c>
    </row>
    <row r="19">
      <c r="A19" t="inlineStr">
        <is>
          <t>A178</t>
        </is>
      </c>
      <c r="B19" t="inlineStr">
        <is>
          <t>H5</t>
        </is>
      </c>
      <c r="C19" t="inlineStr">
        <is>
          <t>W14</t>
        </is>
      </c>
      <c r="D19" t="inlineStr">
        <is>
          <t>C_BatteryComponents</t>
        </is>
      </c>
      <c r="E19" t="n">
        <v>149</v>
      </c>
      <c r="F19" t="n">
        <v>974</v>
      </c>
      <c r="G19" t="n">
        <v>15.3</v>
      </c>
      <c r="H19" t="n">
        <v>123.74</v>
      </c>
      <c r="I19" t="n">
        <v>123.74</v>
      </c>
      <c r="J19" t="n">
        <v>0</v>
      </c>
      <c r="K19" t="n">
        <v>18437.26</v>
      </c>
      <c r="L19" t="inlineStr">
        <is>
          <t>sea</t>
        </is>
      </c>
      <c r="M19" t="n">
        <v>2691.3</v>
      </c>
      <c r="N19" t="inlineStr">
        <is>
          <t>no</t>
        </is>
      </c>
    </row>
    <row r="20">
      <c r="A20" t="inlineStr">
        <is>
          <t>A201</t>
        </is>
      </c>
      <c r="B20" t="inlineStr">
        <is>
          <t>W5</t>
        </is>
      </c>
      <c r="C20" t="inlineStr">
        <is>
          <t>W4</t>
        </is>
      </c>
      <c r="D20" t="inlineStr">
        <is>
          <t>C_BatteryComponents</t>
        </is>
      </c>
      <c r="E20" t="n">
        <v>20</v>
      </c>
      <c r="F20" t="n">
        <v>743</v>
      </c>
      <c r="G20" t="n">
        <v>2.7</v>
      </c>
      <c r="H20" t="n">
        <v>97.45</v>
      </c>
      <c r="I20" t="n">
        <v>97.45</v>
      </c>
      <c r="J20" t="n">
        <v>0</v>
      </c>
      <c r="K20" t="n">
        <v>1949</v>
      </c>
      <c r="L20" t="inlineStr">
        <is>
          <t>road</t>
        </is>
      </c>
      <c r="M20" t="n">
        <v>1033.3</v>
      </c>
      <c r="N20" t="inlineStr">
        <is>
          <t>no</t>
        </is>
      </c>
    </row>
    <row r="21">
      <c r="A21" t="inlineStr">
        <is>
          <t>A225</t>
        </is>
      </c>
      <c r="B21" t="inlineStr">
        <is>
          <t>W11</t>
        </is>
      </c>
      <c r="C21" t="inlineStr">
        <is>
          <t>C1</t>
        </is>
      </c>
      <c r="D21" t="inlineStr">
        <is>
          <t>C_BatteryComponents</t>
        </is>
      </c>
      <c r="E21" t="n">
        <v>60</v>
      </c>
      <c r="F21" t="n">
        <v>515</v>
      </c>
      <c r="G21" t="n">
        <v>11.7</v>
      </c>
      <c r="H21" t="n">
        <v>50.48</v>
      </c>
      <c r="I21" t="n">
        <v>50.48</v>
      </c>
      <c r="J21" t="n">
        <v>0</v>
      </c>
      <c r="K21" t="n">
        <v>3028.8</v>
      </c>
      <c r="L21" t="inlineStr">
        <is>
          <t>road</t>
        </is>
      </c>
      <c r="M21" t="n">
        <v>550</v>
      </c>
      <c r="N21" t="inlineStr">
        <is>
          <t>no</t>
        </is>
      </c>
    </row>
    <row r="22">
      <c r="A22" t="inlineStr">
        <is>
          <t>A227</t>
        </is>
      </c>
      <c r="B22" t="inlineStr">
        <is>
          <t>W13</t>
        </is>
      </c>
      <c r="C22" t="inlineStr">
        <is>
          <t>C2</t>
        </is>
      </c>
      <c r="D22" t="inlineStr">
        <is>
          <t>C_BatteryComponents</t>
        </is>
      </c>
      <c r="E22" t="n">
        <v>45</v>
      </c>
      <c r="F22" t="n">
        <v>384</v>
      </c>
      <c r="G22" t="n">
        <v>11.7</v>
      </c>
      <c r="H22" t="n">
        <v>177.25</v>
      </c>
      <c r="I22" t="n">
        <v>177.25</v>
      </c>
      <c r="J22" t="n">
        <v>0</v>
      </c>
      <c r="K22" t="n">
        <v>7976.25</v>
      </c>
      <c r="L22" t="inlineStr">
        <is>
          <t>road</t>
        </is>
      </c>
      <c r="M22" t="n">
        <v>1957.8</v>
      </c>
      <c r="N22" t="inlineStr">
        <is>
          <t>no</t>
        </is>
      </c>
    </row>
    <row r="23">
      <c r="A23" t="inlineStr">
        <is>
          <t>A229</t>
        </is>
      </c>
      <c r="B23" t="inlineStr">
        <is>
          <t>W12</t>
        </is>
      </c>
      <c r="C23" t="inlineStr">
        <is>
          <t>C2</t>
        </is>
      </c>
      <c r="D23" t="inlineStr">
        <is>
          <t>C_BatteryComponents</t>
        </is>
      </c>
      <c r="E23" t="n">
        <v>6</v>
      </c>
      <c r="F23" t="n">
        <v>1122</v>
      </c>
      <c r="G23" t="n">
        <v>0.5</v>
      </c>
      <c r="H23" t="n">
        <v>191.81</v>
      </c>
      <c r="I23" t="n">
        <v>191.81</v>
      </c>
      <c r="J23" t="n">
        <v>0</v>
      </c>
      <c r="K23" t="n">
        <v>1150.86</v>
      </c>
      <c r="L23" t="inlineStr">
        <is>
          <t>sea</t>
        </is>
      </c>
      <c r="M23" t="n">
        <v>3966.6</v>
      </c>
      <c r="N23" t="inlineStr">
        <is>
          <t>no</t>
        </is>
      </c>
    </row>
    <row r="24">
      <c r="A24" t="inlineStr">
        <is>
          <t>A231</t>
        </is>
      </c>
      <c r="B24" t="inlineStr">
        <is>
          <t>W8</t>
        </is>
      </c>
      <c r="C24" t="inlineStr">
        <is>
          <t>C2</t>
        </is>
      </c>
      <c r="D24" t="inlineStr">
        <is>
          <t>C_BatteryComponents</t>
        </is>
      </c>
      <c r="E24" t="n">
        <v>25</v>
      </c>
      <c r="F24" t="n">
        <v>1049</v>
      </c>
      <c r="G24" t="n">
        <v>2.4</v>
      </c>
      <c r="H24" t="n">
        <v>565.0599999999999</v>
      </c>
      <c r="I24" t="n">
        <v>901.8312</v>
      </c>
      <c r="J24" t="n">
        <v>336.7712</v>
      </c>
      <c r="K24" t="n">
        <v>22545.78</v>
      </c>
      <c r="L24" t="inlineStr">
        <is>
          <t>sea</t>
        </is>
      </c>
      <c r="M24" t="n">
        <v>11639.4</v>
      </c>
      <c r="N24" t="inlineStr">
        <is>
          <t>no</t>
        </is>
      </c>
    </row>
    <row r="25">
      <c r="A25" t="inlineStr">
        <is>
          <t>A232</t>
        </is>
      </c>
      <c r="B25" t="inlineStr">
        <is>
          <t>W10</t>
        </is>
      </c>
      <c r="C25" t="inlineStr">
        <is>
          <t>C3</t>
        </is>
      </c>
      <c r="D25" t="inlineStr">
        <is>
          <t>C_BatteryComponents</t>
        </is>
      </c>
      <c r="E25" t="n">
        <v>80</v>
      </c>
      <c r="F25" t="n">
        <v>749</v>
      </c>
      <c r="G25" t="n">
        <v>10.7</v>
      </c>
      <c r="H25" t="n">
        <v>133.46</v>
      </c>
      <c r="I25" t="n">
        <v>133.46</v>
      </c>
      <c r="J25" t="n">
        <v>0</v>
      </c>
      <c r="K25" t="n">
        <v>10676.8</v>
      </c>
      <c r="L25" t="inlineStr">
        <is>
          <t>sea</t>
        </is>
      </c>
      <c r="M25" t="n">
        <v>3040.6</v>
      </c>
      <c r="N25" t="inlineStr">
        <is>
          <t>no</t>
        </is>
      </c>
    </row>
    <row r="26">
      <c r="A26" t="inlineStr">
        <is>
          <t>A235</t>
        </is>
      </c>
      <c r="B26" t="inlineStr">
        <is>
          <t>W12</t>
        </is>
      </c>
      <c r="C26" t="inlineStr">
        <is>
          <t>C4</t>
        </is>
      </c>
      <c r="D26" t="inlineStr">
        <is>
          <t>C_BatteryComponents</t>
        </is>
      </c>
      <c r="E26" t="n">
        <v>51</v>
      </c>
      <c r="F26" t="n">
        <v>546</v>
      </c>
      <c r="G26" t="n">
        <v>9.300000000000001</v>
      </c>
      <c r="H26" t="n">
        <v>35.64</v>
      </c>
      <c r="I26" t="n">
        <v>35.64</v>
      </c>
      <c r="J26" t="n">
        <v>0</v>
      </c>
      <c r="K26" t="n">
        <v>1817.64</v>
      </c>
      <c r="L26" t="inlineStr">
        <is>
          <t>road</t>
        </is>
      </c>
      <c r="M26" t="n">
        <v>402.8</v>
      </c>
      <c r="N26" t="inlineStr">
        <is>
          <t>no</t>
        </is>
      </c>
    </row>
    <row r="27">
      <c r="A27" t="inlineStr">
        <is>
          <t>A239</t>
        </is>
      </c>
      <c r="B27" t="inlineStr">
        <is>
          <t>W11</t>
        </is>
      </c>
      <c r="C27" t="inlineStr">
        <is>
          <t>C5</t>
        </is>
      </c>
      <c r="D27" t="inlineStr">
        <is>
          <t>C_BatteryComponents</t>
        </is>
      </c>
      <c r="E27" t="n">
        <v>90</v>
      </c>
      <c r="F27" t="n">
        <v>645</v>
      </c>
      <c r="G27" t="n">
        <v>14</v>
      </c>
      <c r="H27" t="n">
        <v>96.53</v>
      </c>
      <c r="I27" t="n">
        <v>96.53</v>
      </c>
      <c r="J27" t="n">
        <v>0</v>
      </c>
      <c r="K27" t="n">
        <v>8687.700000000001</v>
      </c>
      <c r="L27" t="inlineStr">
        <is>
          <t>road</t>
        </is>
      </c>
      <c r="M27" t="n">
        <v>1183</v>
      </c>
      <c r="N27" t="inlineStr">
        <is>
          <t>no</t>
        </is>
      </c>
    </row>
    <row r="28">
      <c r="A28" t="inlineStr">
        <is>
          <t>A242</t>
        </is>
      </c>
      <c r="B28" t="inlineStr">
        <is>
          <t>W10</t>
        </is>
      </c>
      <c r="C28" t="inlineStr">
        <is>
          <t>C6</t>
        </is>
      </c>
      <c r="D28" t="inlineStr">
        <is>
          <t>C_BatteryComponents</t>
        </is>
      </c>
      <c r="E28" t="n">
        <v>54</v>
      </c>
      <c r="F28" t="n">
        <v>549</v>
      </c>
      <c r="G28" t="n">
        <v>9.800000000000001</v>
      </c>
      <c r="H28" t="n">
        <v>30.81</v>
      </c>
      <c r="I28" t="n">
        <v>30.81</v>
      </c>
      <c r="J28" t="n">
        <v>0</v>
      </c>
      <c r="K28" t="n">
        <v>1663.74</v>
      </c>
      <c r="L28" t="inlineStr">
        <is>
          <t>road</t>
        </is>
      </c>
      <c r="M28" t="n">
        <v>362.3</v>
      </c>
      <c r="N28" t="inlineStr">
        <is>
          <t>no</t>
        </is>
      </c>
    </row>
    <row r="29">
      <c r="A29" t="inlineStr">
        <is>
          <t>A244</t>
        </is>
      </c>
      <c r="B29" t="inlineStr">
        <is>
          <t>W10</t>
        </is>
      </c>
      <c r="C29" t="inlineStr">
        <is>
          <t>C7</t>
        </is>
      </c>
      <c r="D29" t="inlineStr">
        <is>
          <t>C_BatteryComponents</t>
        </is>
      </c>
      <c r="E29" t="n">
        <v>73</v>
      </c>
      <c r="F29" t="n">
        <v>1141</v>
      </c>
      <c r="G29" t="n">
        <v>6.4</v>
      </c>
      <c r="H29" t="n">
        <v>133.66</v>
      </c>
      <c r="I29" t="n">
        <v>133.66</v>
      </c>
      <c r="J29" t="n">
        <v>0</v>
      </c>
      <c r="K29" t="n">
        <v>9757.18</v>
      </c>
      <c r="L29" t="inlineStr">
        <is>
          <t>sea</t>
        </is>
      </c>
      <c r="M29" t="n">
        <v>3188</v>
      </c>
      <c r="N29" t="inlineStr">
        <is>
          <t>no</t>
        </is>
      </c>
    </row>
    <row r="30">
      <c r="A30" t="inlineStr">
        <is>
          <t>A249</t>
        </is>
      </c>
      <c r="B30" t="inlineStr">
        <is>
          <t>W13</t>
        </is>
      </c>
      <c r="C30" t="inlineStr">
        <is>
          <t>C8</t>
        </is>
      </c>
      <c r="D30" t="inlineStr">
        <is>
          <t>C_BatteryComponents</t>
        </is>
      </c>
      <c r="E30" t="n">
        <v>80</v>
      </c>
      <c r="F30" t="n">
        <v>828</v>
      </c>
      <c r="G30" t="n">
        <v>9.699999999999999</v>
      </c>
      <c r="H30" t="n">
        <v>136.63</v>
      </c>
      <c r="I30" t="n">
        <v>136.63</v>
      </c>
      <c r="J30" t="n">
        <v>0</v>
      </c>
      <c r="K30" t="n">
        <v>10930.4</v>
      </c>
      <c r="L30" t="inlineStr">
        <is>
          <t>sea</t>
        </is>
      </c>
      <c r="M30" t="n">
        <v>3052.5</v>
      </c>
      <c r="N30" t="inlineStr">
        <is>
          <t>no</t>
        </is>
      </c>
    </row>
    <row r="31">
      <c r="A31" t="inlineStr">
        <is>
          <t>A250</t>
        </is>
      </c>
      <c r="B31" t="inlineStr">
        <is>
          <t>W1</t>
        </is>
      </c>
      <c r="C31" t="inlineStr">
        <is>
          <t>C9</t>
        </is>
      </c>
      <c r="D31" t="inlineStr">
        <is>
          <t>C_BatteryComponents</t>
        </is>
      </c>
      <c r="E31" t="n">
        <v>66</v>
      </c>
      <c r="F31" t="n">
        <v>1199</v>
      </c>
      <c r="G31" t="n">
        <v>5.5</v>
      </c>
      <c r="H31" t="n">
        <v>30.64</v>
      </c>
      <c r="I31" t="n">
        <v>30.64</v>
      </c>
      <c r="J31" t="n">
        <v>0</v>
      </c>
      <c r="K31" t="n">
        <v>2022.24</v>
      </c>
      <c r="L31" t="inlineStr">
        <is>
          <t>road</t>
        </is>
      </c>
      <c r="M31" t="n">
        <v>372.2</v>
      </c>
      <c r="N31" t="inlineStr">
        <is>
          <t>no</t>
        </is>
      </c>
    </row>
    <row r="32">
      <c r="A32" t="inlineStr">
        <is>
          <t>A252</t>
        </is>
      </c>
      <c r="B32" t="inlineStr">
        <is>
          <t>W3</t>
        </is>
      </c>
      <c r="C32" t="inlineStr">
        <is>
          <t>C10</t>
        </is>
      </c>
      <c r="D32" t="inlineStr">
        <is>
          <t>C_BatteryComponents</t>
        </is>
      </c>
      <c r="E32" t="n">
        <v>88</v>
      </c>
      <c r="F32" t="n">
        <v>785</v>
      </c>
      <c r="G32" t="n">
        <v>11.2</v>
      </c>
      <c r="H32" t="n">
        <v>43.05</v>
      </c>
      <c r="I32" t="n">
        <v>43.05</v>
      </c>
      <c r="J32" t="n">
        <v>0</v>
      </c>
      <c r="K32" t="n">
        <v>3788.4</v>
      </c>
      <c r="L32" t="inlineStr">
        <is>
          <t>road</t>
        </is>
      </c>
      <c r="M32" t="n">
        <v>517.4</v>
      </c>
      <c r="N32" t="inlineStr">
        <is>
          <t>no</t>
        </is>
      </c>
    </row>
    <row r="33">
      <c r="A33" t="inlineStr">
        <is>
          <t>A256</t>
        </is>
      </c>
      <c r="B33" t="inlineStr">
        <is>
          <t>W3</t>
        </is>
      </c>
      <c r="C33" t="inlineStr">
        <is>
          <t>C11</t>
        </is>
      </c>
      <c r="D33" t="inlineStr">
        <is>
          <t>C_BatteryComponents</t>
        </is>
      </c>
      <c r="E33" t="n">
        <v>63</v>
      </c>
      <c r="F33" t="n">
        <v>710</v>
      </c>
      <c r="G33" t="n">
        <v>8.9</v>
      </c>
      <c r="H33" t="n">
        <v>108.2</v>
      </c>
      <c r="I33" t="n">
        <v>108.2</v>
      </c>
      <c r="J33" t="n">
        <v>0</v>
      </c>
      <c r="K33" t="n">
        <v>6816.6</v>
      </c>
      <c r="L33" t="inlineStr">
        <is>
          <t>road</t>
        </is>
      </c>
      <c r="M33" t="n">
        <v>1144.1</v>
      </c>
      <c r="N33" t="inlineStr">
        <is>
          <t>no</t>
        </is>
      </c>
    </row>
    <row r="34">
      <c r="A34" t="inlineStr">
        <is>
          <t>A258</t>
        </is>
      </c>
      <c r="B34" t="inlineStr">
        <is>
          <t>W1</t>
        </is>
      </c>
      <c r="C34" t="inlineStr">
        <is>
          <t>C12</t>
        </is>
      </c>
      <c r="D34" t="inlineStr">
        <is>
          <t>C_BatteryComponents</t>
        </is>
      </c>
      <c r="E34" t="n">
        <v>74</v>
      </c>
      <c r="F34" t="n">
        <v>470</v>
      </c>
      <c r="G34" t="n">
        <v>15.7</v>
      </c>
      <c r="H34" t="n">
        <v>5.2</v>
      </c>
      <c r="I34" t="n">
        <v>5.2</v>
      </c>
      <c r="J34" t="n">
        <v>0</v>
      </c>
      <c r="K34" t="n">
        <v>384.8</v>
      </c>
      <c r="L34" t="inlineStr">
        <is>
          <t>road</t>
        </is>
      </c>
      <c r="M34" t="n">
        <v>57.7</v>
      </c>
      <c r="N34" t="inlineStr">
        <is>
          <t>no</t>
        </is>
      </c>
    </row>
    <row r="35">
      <c r="A35" t="inlineStr">
        <is>
          <t>A261</t>
        </is>
      </c>
      <c r="B35" t="inlineStr">
        <is>
          <t>W1</t>
        </is>
      </c>
      <c r="C35" t="inlineStr">
        <is>
          <t>C13</t>
        </is>
      </c>
      <c r="D35" t="inlineStr">
        <is>
          <t>C_BatteryComponents</t>
        </is>
      </c>
      <c r="E35" t="n">
        <v>83</v>
      </c>
      <c r="F35" t="n">
        <v>510</v>
      </c>
      <c r="G35" t="n">
        <v>16.3</v>
      </c>
      <c r="H35" t="n">
        <v>10.33</v>
      </c>
      <c r="I35" t="n">
        <v>10.33</v>
      </c>
      <c r="J35" t="n">
        <v>0</v>
      </c>
      <c r="K35" t="n">
        <v>857.39</v>
      </c>
      <c r="L35" t="inlineStr">
        <is>
          <t>road</t>
        </is>
      </c>
      <c r="M35" t="n">
        <v>119.3</v>
      </c>
      <c r="N35" t="inlineStr">
        <is>
          <t>no</t>
        </is>
      </c>
    </row>
    <row r="36">
      <c r="A36" t="inlineStr">
        <is>
          <t>A264</t>
        </is>
      </c>
      <c r="B36" t="inlineStr">
        <is>
          <t>W3</t>
        </is>
      </c>
      <c r="C36" t="inlineStr">
        <is>
          <t>C14</t>
        </is>
      </c>
      <c r="D36" t="inlineStr">
        <is>
          <t>C_BatteryComponents</t>
        </is>
      </c>
      <c r="E36" t="n">
        <v>72</v>
      </c>
      <c r="F36" t="n">
        <v>935</v>
      </c>
      <c r="G36" t="n">
        <v>7.7</v>
      </c>
      <c r="H36" t="n">
        <v>50.29</v>
      </c>
      <c r="I36" t="n">
        <v>50.29</v>
      </c>
      <c r="J36" t="n">
        <v>0</v>
      </c>
      <c r="K36" t="n">
        <v>3620.88</v>
      </c>
      <c r="L36" t="inlineStr">
        <is>
          <t>road</t>
        </is>
      </c>
      <c r="M36" t="n">
        <v>555.4</v>
      </c>
      <c r="N36" t="inlineStr">
        <is>
          <t>no</t>
        </is>
      </c>
    </row>
    <row r="37">
      <c r="A37" t="inlineStr">
        <is>
          <t>A269</t>
        </is>
      </c>
      <c r="B37" t="inlineStr">
        <is>
          <t>W3</t>
        </is>
      </c>
      <c r="C37" t="inlineStr">
        <is>
          <t>C15</t>
        </is>
      </c>
      <c r="D37" t="inlineStr">
        <is>
          <t>C_BatteryComponents</t>
        </is>
      </c>
      <c r="E37" t="n">
        <v>57</v>
      </c>
      <c r="F37" t="n">
        <v>746</v>
      </c>
      <c r="G37" t="n">
        <v>7.6</v>
      </c>
      <c r="H37" t="n">
        <v>70.81999999999999</v>
      </c>
      <c r="I37" t="n">
        <v>70.81999999999999</v>
      </c>
      <c r="J37" t="n">
        <v>0</v>
      </c>
      <c r="K37" t="n">
        <v>4036.74</v>
      </c>
      <c r="L37" t="inlineStr">
        <is>
          <t>road</t>
        </is>
      </c>
      <c r="M37" t="n">
        <v>810.4</v>
      </c>
      <c r="N37" t="inlineStr">
        <is>
          <t>no</t>
        </is>
      </c>
    </row>
    <row r="38">
      <c r="A38" t="inlineStr">
        <is>
          <t>A274</t>
        </is>
      </c>
      <c r="B38" t="inlineStr">
        <is>
          <t>W2</t>
        </is>
      </c>
      <c r="C38" t="inlineStr">
        <is>
          <t>C16</t>
        </is>
      </c>
      <c r="D38" t="inlineStr">
        <is>
          <t>C_BatteryComponents</t>
        </is>
      </c>
      <c r="E38" t="n">
        <v>71</v>
      </c>
      <c r="F38" t="n">
        <v>1087</v>
      </c>
      <c r="G38" t="n">
        <v>6.5</v>
      </c>
      <c r="H38" t="n">
        <v>43.5</v>
      </c>
      <c r="I38" t="n">
        <v>43.5</v>
      </c>
      <c r="J38" t="n">
        <v>0</v>
      </c>
      <c r="K38" t="n">
        <v>3088.5</v>
      </c>
      <c r="L38" t="inlineStr">
        <is>
          <t>road</t>
        </is>
      </c>
      <c r="M38" t="n">
        <v>504.9</v>
      </c>
      <c r="N38" t="inlineStr">
        <is>
          <t>no</t>
        </is>
      </c>
    </row>
    <row r="39">
      <c r="A39" t="inlineStr">
        <is>
          <t>A276</t>
        </is>
      </c>
      <c r="B39" t="inlineStr">
        <is>
          <t>W14</t>
        </is>
      </c>
      <c r="C39" t="inlineStr">
        <is>
          <t>C17</t>
        </is>
      </c>
      <c r="D39" t="inlineStr">
        <is>
          <t>C_BatteryComponents</t>
        </is>
      </c>
      <c r="E39" t="n">
        <v>19</v>
      </c>
      <c r="F39" t="n">
        <v>773</v>
      </c>
      <c r="G39" t="n">
        <v>2.5</v>
      </c>
      <c r="H39" t="n">
        <v>175.28</v>
      </c>
      <c r="I39" t="n">
        <v>175.28</v>
      </c>
      <c r="J39" t="n">
        <v>0</v>
      </c>
      <c r="K39" t="n">
        <v>3330.32</v>
      </c>
      <c r="L39" t="inlineStr">
        <is>
          <t>road</t>
        </is>
      </c>
      <c r="M39" t="n">
        <v>1933.6</v>
      </c>
      <c r="N39" t="inlineStr">
        <is>
          <t>no</t>
        </is>
      </c>
    </row>
    <row r="40">
      <c r="A40" t="inlineStr">
        <is>
          <t>A278</t>
        </is>
      </c>
      <c r="B40" t="inlineStr">
        <is>
          <t>W14</t>
        </is>
      </c>
      <c r="C40" t="inlineStr">
        <is>
          <t>C18</t>
        </is>
      </c>
      <c r="D40" t="inlineStr">
        <is>
          <t>C_BatteryComponents</t>
        </is>
      </c>
      <c r="E40" t="n">
        <v>32</v>
      </c>
      <c r="F40" t="n">
        <v>669</v>
      </c>
      <c r="G40" t="n">
        <v>4.8</v>
      </c>
      <c r="H40" t="n">
        <v>254.26</v>
      </c>
      <c r="I40" t="n">
        <v>254.26</v>
      </c>
      <c r="J40" t="n">
        <v>0</v>
      </c>
      <c r="K40" t="n">
        <v>8136.32</v>
      </c>
      <c r="L40" t="inlineStr">
        <is>
          <t>road</t>
        </is>
      </c>
      <c r="M40" t="n">
        <v>2853.9</v>
      </c>
      <c r="N40" t="inlineStr">
        <is>
          <t>no</t>
        </is>
      </c>
    </row>
    <row r="41">
      <c r="A41" t="inlineStr">
        <is>
          <t>A280</t>
        </is>
      </c>
      <c r="B41" t="inlineStr">
        <is>
          <t>W14</t>
        </is>
      </c>
      <c r="C41" t="inlineStr">
        <is>
          <t>C19</t>
        </is>
      </c>
      <c r="D41" t="inlineStr">
        <is>
          <t>C_BatteryComponents</t>
        </is>
      </c>
      <c r="E41" t="n">
        <v>30</v>
      </c>
      <c r="F41" t="n">
        <v>1172</v>
      </c>
      <c r="G41" t="n">
        <v>2.6</v>
      </c>
      <c r="H41" t="n">
        <v>237.36</v>
      </c>
      <c r="I41" t="n">
        <v>237.36</v>
      </c>
      <c r="J41" t="n">
        <v>0</v>
      </c>
      <c r="K41" t="n">
        <v>7120.8</v>
      </c>
      <c r="L41" t="inlineStr">
        <is>
          <t>road</t>
        </is>
      </c>
      <c r="M41" t="n">
        <v>2557.7</v>
      </c>
      <c r="N41" t="inlineStr">
        <is>
          <t>no</t>
        </is>
      </c>
    </row>
    <row r="42">
      <c r="A42" t="inlineStr">
        <is>
          <t>A283</t>
        </is>
      </c>
      <c r="B42" t="inlineStr">
        <is>
          <t>W14</t>
        </is>
      </c>
      <c r="C42" t="inlineStr">
        <is>
          <t>C20</t>
        </is>
      </c>
      <c r="D42" t="inlineStr">
        <is>
          <t>C_BatteryComponents</t>
        </is>
      </c>
      <c r="E42" t="n">
        <v>27</v>
      </c>
      <c r="F42" t="n">
        <v>1067</v>
      </c>
      <c r="G42" t="n">
        <v>2.5</v>
      </c>
      <c r="H42" t="n">
        <v>145.34</v>
      </c>
      <c r="I42" t="n">
        <v>145.34</v>
      </c>
      <c r="J42" t="n">
        <v>0</v>
      </c>
      <c r="K42" t="n">
        <v>3924.18</v>
      </c>
      <c r="L42" t="inlineStr">
        <is>
          <t>sea</t>
        </is>
      </c>
      <c r="M42" t="n">
        <v>3134.3</v>
      </c>
      <c r="N42" t="inlineStr">
        <is>
          <t>no</t>
        </is>
      </c>
    </row>
    <row r="43">
      <c r="A43" t="inlineStr">
        <is>
          <t>A285</t>
        </is>
      </c>
      <c r="B43" t="inlineStr">
        <is>
          <t>W14</t>
        </is>
      </c>
      <c r="C43" t="inlineStr">
        <is>
          <t>C21</t>
        </is>
      </c>
      <c r="D43" t="inlineStr">
        <is>
          <t>C_BatteryComponents</t>
        </is>
      </c>
      <c r="E43" t="n">
        <v>41</v>
      </c>
      <c r="F43" t="n">
        <v>1073</v>
      </c>
      <c r="G43" t="n">
        <v>3.8</v>
      </c>
      <c r="H43" t="n">
        <v>232.02</v>
      </c>
      <c r="I43" t="n">
        <v>232.02</v>
      </c>
      <c r="J43" t="n">
        <v>0</v>
      </c>
      <c r="K43" t="n">
        <v>9512.82</v>
      </c>
      <c r="L43" t="inlineStr">
        <is>
          <t>road</t>
        </is>
      </c>
      <c r="M43" t="n">
        <v>2835.1</v>
      </c>
      <c r="N43" t="inlineStr">
        <is>
          <t>no</t>
        </is>
      </c>
    </row>
    <row r="44">
      <c r="A44" t="inlineStr">
        <is>
          <t>A288</t>
        </is>
      </c>
      <c r="B44" t="inlineStr">
        <is>
          <t>W7</t>
        </is>
      </c>
      <c r="C44" t="inlineStr">
        <is>
          <t>C22</t>
        </is>
      </c>
      <c r="D44" t="inlineStr">
        <is>
          <t>C_BatteryComponents</t>
        </is>
      </c>
      <c r="E44" t="n">
        <v>100</v>
      </c>
      <c r="F44" t="n">
        <v>983</v>
      </c>
      <c r="G44" t="n">
        <v>10.2</v>
      </c>
      <c r="H44" t="n">
        <v>0.09</v>
      </c>
      <c r="I44" t="n">
        <v>0.09</v>
      </c>
      <c r="J44" t="n">
        <v>0</v>
      </c>
      <c r="K44" t="n">
        <v>9</v>
      </c>
      <c r="L44" t="inlineStr">
        <is>
          <t>road</t>
        </is>
      </c>
      <c r="M44" t="n">
        <v>1.1</v>
      </c>
      <c r="N44" t="inlineStr">
        <is>
          <t>no</t>
        </is>
      </c>
    </row>
    <row r="45">
      <c r="A45" t="inlineStr">
        <is>
          <t>A291</t>
        </is>
      </c>
      <c r="B45" t="inlineStr">
        <is>
          <t>W6</t>
        </is>
      </c>
      <c r="C45" t="inlineStr">
        <is>
          <t>C23</t>
        </is>
      </c>
      <c r="D45" t="inlineStr">
        <is>
          <t>C_BatteryComponents</t>
        </is>
      </c>
      <c r="E45" t="n">
        <v>100</v>
      </c>
      <c r="F45" t="n">
        <v>868</v>
      </c>
      <c r="G45" t="n">
        <v>11.5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road</t>
        </is>
      </c>
      <c r="M45" t="n">
        <v>0</v>
      </c>
      <c r="N45" t="inlineStr">
        <is>
          <t>no</t>
        </is>
      </c>
    </row>
    <row r="46">
      <c r="A46" t="inlineStr">
        <is>
          <t>A294</t>
        </is>
      </c>
      <c r="B46" t="inlineStr">
        <is>
          <t>W6</t>
        </is>
      </c>
      <c r="C46" t="inlineStr">
        <is>
          <t>C24</t>
        </is>
      </c>
      <c r="D46" t="inlineStr">
        <is>
          <t>C_BatteryComponents</t>
        </is>
      </c>
      <c r="E46" t="n">
        <v>89</v>
      </c>
      <c r="F46" t="n">
        <v>389</v>
      </c>
      <c r="G46" t="n">
        <v>22.9</v>
      </c>
      <c r="H46" t="n">
        <v>13.14</v>
      </c>
      <c r="I46" t="n">
        <v>13.14</v>
      </c>
      <c r="J46" t="n">
        <v>0</v>
      </c>
      <c r="K46" t="n">
        <v>1169.46</v>
      </c>
      <c r="L46" t="inlineStr">
        <is>
          <t>road</t>
        </is>
      </c>
      <c r="M46" t="n">
        <v>139.6</v>
      </c>
      <c r="N46" t="inlineStr">
        <is>
          <t>no</t>
        </is>
      </c>
    </row>
    <row r="47">
      <c r="A47" t="inlineStr">
        <is>
          <t>A298</t>
        </is>
      </c>
      <c r="B47" t="inlineStr">
        <is>
          <t>W6</t>
        </is>
      </c>
      <c r="C47" t="inlineStr">
        <is>
          <t>C25</t>
        </is>
      </c>
      <c r="D47" t="inlineStr">
        <is>
          <t>C_BatteryComponents</t>
        </is>
      </c>
      <c r="E47" t="n">
        <v>110</v>
      </c>
      <c r="F47" t="n">
        <v>341</v>
      </c>
      <c r="G47" t="n">
        <v>32.3</v>
      </c>
      <c r="H47" t="n">
        <v>44.14</v>
      </c>
      <c r="I47" t="n">
        <v>44.14</v>
      </c>
      <c r="J47" t="n">
        <v>0</v>
      </c>
      <c r="K47" t="n">
        <v>4855.4</v>
      </c>
      <c r="L47" t="inlineStr">
        <is>
          <t>road</t>
        </is>
      </c>
      <c r="M47" t="n">
        <v>485</v>
      </c>
      <c r="N47" t="inlineStr">
        <is>
          <t>no</t>
        </is>
      </c>
    </row>
    <row r="48">
      <c r="A48" t="inlineStr">
        <is>
          <t>A305</t>
        </is>
      </c>
      <c r="B48" t="inlineStr">
        <is>
          <t>W8</t>
        </is>
      </c>
      <c r="C48" t="inlineStr">
        <is>
          <t>C26</t>
        </is>
      </c>
      <c r="D48" t="inlineStr">
        <is>
          <t>C_BatteryComponents</t>
        </is>
      </c>
      <c r="E48" t="n">
        <v>69</v>
      </c>
      <c r="F48" t="n">
        <v>1084</v>
      </c>
      <c r="G48" t="n">
        <v>6.4</v>
      </c>
      <c r="H48" t="n">
        <v>140.63</v>
      </c>
      <c r="I48" t="n">
        <v>140.63</v>
      </c>
      <c r="J48" t="n">
        <v>0</v>
      </c>
      <c r="K48" t="n">
        <v>9703.469999999999</v>
      </c>
      <c r="L48" t="inlineStr">
        <is>
          <t>sea</t>
        </is>
      </c>
      <c r="M48" t="n">
        <v>3393.8</v>
      </c>
      <c r="N48" t="inlineStr">
        <is>
          <t>no</t>
        </is>
      </c>
    </row>
    <row r="49">
      <c r="A49" t="inlineStr">
        <is>
          <t>A308</t>
        </is>
      </c>
      <c r="B49" t="inlineStr">
        <is>
          <t>W15</t>
        </is>
      </c>
      <c r="C49" t="inlineStr">
        <is>
          <t>C27</t>
        </is>
      </c>
      <c r="D49" t="inlineStr">
        <is>
          <t>C_BatteryComponents</t>
        </is>
      </c>
      <c r="E49" t="n">
        <v>45</v>
      </c>
      <c r="F49" t="n">
        <v>1122</v>
      </c>
      <c r="G49" t="n">
        <v>4</v>
      </c>
      <c r="H49" t="n">
        <v>148.7</v>
      </c>
      <c r="I49" t="n">
        <v>148.7</v>
      </c>
      <c r="J49" t="n">
        <v>0</v>
      </c>
      <c r="K49" t="n">
        <v>6691.5</v>
      </c>
      <c r="L49" t="inlineStr">
        <is>
          <t>road</t>
        </is>
      </c>
      <c r="M49" t="n">
        <v>1739.5</v>
      </c>
      <c r="N49" t="inlineStr">
        <is>
          <t>no</t>
        </is>
      </c>
    </row>
    <row r="50">
      <c r="A50" t="inlineStr">
        <is>
          <t>A309</t>
        </is>
      </c>
      <c r="B50" t="inlineStr">
        <is>
          <t>W4</t>
        </is>
      </c>
      <c r="C50" t="inlineStr">
        <is>
          <t>C28</t>
        </is>
      </c>
      <c r="D50" t="inlineStr">
        <is>
          <t>C_BatteryComponents</t>
        </is>
      </c>
      <c r="E50" t="n">
        <v>20</v>
      </c>
      <c r="F50" t="n">
        <v>429</v>
      </c>
      <c r="G50" t="n">
        <v>4.7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road</t>
        </is>
      </c>
      <c r="M50" t="n">
        <v>0</v>
      </c>
      <c r="N50" t="inlineStr">
        <is>
          <t>no</t>
        </is>
      </c>
    </row>
    <row r="51">
      <c r="A51" t="inlineStr">
        <is>
          <t>A312</t>
        </is>
      </c>
      <c r="B51" t="inlineStr">
        <is>
          <t>W15</t>
        </is>
      </c>
      <c r="C51" t="inlineStr">
        <is>
          <t>C29</t>
        </is>
      </c>
      <c r="D51" t="inlineStr">
        <is>
          <t>C_BatteryComponents</t>
        </is>
      </c>
      <c r="E51" t="n">
        <v>35</v>
      </c>
      <c r="F51" t="n">
        <v>1024</v>
      </c>
      <c r="G51" t="n">
        <v>3.4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road</t>
        </is>
      </c>
      <c r="M51" t="n">
        <v>0</v>
      </c>
      <c r="N51" t="inlineStr">
        <is>
          <t>no</t>
        </is>
      </c>
    </row>
    <row r="52">
      <c r="A52" t="inlineStr">
        <is>
          <t>A315</t>
        </is>
      </c>
      <c r="B52" t="inlineStr">
        <is>
          <t>W5</t>
        </is>
      </c>
      <c r="C52" t="inlineStr">
        <is>
          <t>C30</t>
        </is>
      </c>
      <c r="D52" t="inlineStr">
        <is>
          <t>C_BatteryComponents</t>
        </is>
      </c>
      <c r="E52" t="n">
        <v>38</v>
      </c>
      <c r="F52" t="n">
        <v>611</v>
      </c>
      <c r="G52" t="n">
        <v>6.2</v>
      </c>
      <c r="H52" t="n">
        <v>120.82</v>
      </c>
      <c r="I52" t="n">
        <v>120.82</v>
      </c>
      <c r="J52" t="n">
        <v>0</v>
      </c>
      <c r="K52" t="n">
        <v>4591.16</v>
      </c>
      <c r="L52" t="inlineStr">
        <is>
          <t>road</t>
        </is>
      </c>
      <c r="M52" t="n">
        <v>1358.2</v>
      </c>
      <c r="N5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open_baseline</t>
        </is>
      </c>
      <c r="C1" s="1" t="inlineStr">
        <is>
          <t>open_scenario</t>
        </is>
      </c>
      <c r="D1" s="1" t="inlineStr">
        <is>
          <t>status_vs_baseline</t>
        </is>
      </c>
      <c r="E1" s="1" t="inlineStr">
        <is>
          <t>opening_cost</t>
        </is>
      </c>
      <c r="F1" s="1" t="inlineStr">
        <is>
          <t>cost_charged</t>
        </is>
      </c>
      <c r="G1" s="1" t="inlineStr">
        <is>
          <t>capacity</t>
        </is>
      </c>
      <c r="H1" s="1" t="inlineStr">
        <is>
          <t>total_inflow</t>
        </is>
      </c>
      <c r="I1" s="1" t="inlineStr">
        <is>
          <t>utilization_%</t>
        </is>
      </c>
      <c r="J1" s="1" t="inlineStr">
        <is>
          <t>locked_by_R</t>
        </is>
      </c>
    </row>
    <row r="2">
      <c r="A2" t="inlineStr">
        <is>
          <t>W1</t>
        </is>
      </c>
      <c r="B2" t="n">
        <v>1</v>
      </c>
      <c r="C2" t="n">
        <v>1</v>
      </c>
      <c r="D2" t="inlineStr">
        <is>
          <t>kept</t>
        </is>
      </c>
      <c r="E2" t="n">
        <v>938.34</v>
      </c>
      <c r="F2" t="n">
        <v>0</v>
      </c>
      <c r="G2" t="n">
        <v>908</v>
      </c>
      <c r="H2" t="n">
        <v>829</v>
      </c>
      <c r="I2" t="n">
        <v>91.3</v>
      </c>
      <c r="J2" t="inlineStr">
        <is>
          <t>YES</t>
        </is>
      </c>
    </row>
    <row r="3">
      <c r="A3" t="inlineStr">
        <is>
          <t>W10</t>
        </is>
      </c>
      <c r="B3" t="n">
        <v>1</v>
      </c>
      <c r="C3" t="n">
        <v>1</v>
      </c>
      <c r="D3" t="inlineStr">
        <is>
          <t>kept</t>
        </is>
      </c>
      <c r="E3" t="n">
        <v>1752.93</v>
      </c>
      <c r="F3" t="n">
        <v>0</v>
      </c>
      <c r="G3" t="n">
        <v>1925</v>
      </c>
      <c r="H3" t="n">
        <v>343</v>
      </c>
      <c r="I3" t="n">
        <v>17.8</v>
      </c>
      <c r="J3" t="inlineStr">
        <is>
          <t>YES</t>
        </is>
      </c>
    </row>
    <row r="4">
      <c r="A4" t="inlineStr">
        <is>
          <t>W11</t>
        </is>
      </c>
      <c r="B4" t="n">
        <v>1</v>
      </c>
      <c r="C4" t="n">
        <v>1</v>
      </c>
      <c r="D4" t="inlineStr">
        <is>
          <t>kept</t>
        </is>
      </c>
      <c r="E4" t="n">
        <v>1641.35</v>
      </c>
      <c r="F4" t="n">
        <v>0</v>
      </c>
      <c r="G4" t="n">
        <v>1911</v>
      </c>
      <c r="H4" t="n">
        <v>961</v>
      </c>
      <c r="I4" t="n">
        <v>50.3</v>
      </c>
      <c r="J4" t="inlineStr">
        <is>
          <t>YES</t>
        </is>
      </c>
    </row>
    <row r="5">
      <c r="A5" t="inlineStr">
        <is>
          <t>W12</t>
        </is>
      </c>
      <c r="B5" t="n">
        <v>1</v>
      </c>
      <c r="C5" t="n">
        <v>1</v>
      </c>
      <c r="D5" t="inlineStr">
        <is>
          <t>kept</t>
        </is>
      </c>
      <c r="E5" t="n">
        <v>1003.8</v>
      </c>
      <c r="F5" t="n">
        <v>0</v>
      </c>
      <c r="G5" t="n">
        <v>1103</v>
      </c>
      <c r="H5" t="n">
        <v>299</v>
      </c>
      <c r="I5" t="n">
        <v>27.1</v>
      </c>
      <c r="J5" t="inlineStr">
        <is>
          <t>YES</t>
        </is>
      </c>
    </row>
    <row r="6">
      <c r="A6" t="inlineStr">
        <is>
          <t>W13</t>
        </is>
      </c>
      <c r="B6" t="n">
        <v>1</v>
      </c>
      <c r="C6" t="n">
        <v>1</v>
      </c>
      <c r="D6" t="inlineStr">
        <is>
          <t>kept</t>
        </is>
      </c>
      <c r="E6" t="n">
        <v>1633.63</v>
      </c>
      <c r="F6" t="n">
        <v>0</v>
      </c>
      <c r="G6" t="n">
        <v>1699</v>
      </c>
      <c r="H6" t="n">
        <v>193</v>
      </c>
      <c r="I6" t="n">
        <v>11.4</v>
      </c>
      <c r="J6" t="inlineStr">
        <is>
          <t>YES</t>
        </is>
      </c>
    </row>
    <row r="7">
      <c r="A7" t="inlineStr">
        <is>
          <t>W14</t>
        </is>
      </c>
      <c r="B7" t="n">
        <v>1</v>
      </c>
      <c r="C7" t="n">
        <v>1</v>
      </c>
      <c r="D7" t="inlineStr">
        <is>
          <t>kept</t>
        </is>
      </c>
      <c r="E7" t="n">
        <v>903.04</v>
      </c>
      <c r="F7" t="n">
        <v>0</v>
      </c>
      <c r="G7" t="n">
        <v>1179</v>
      </c>
      <c r="H7" t="n">
        <v>737</v>
      </c>
      <c r="I7" t="n">
        <v>62.5</v>
      </c>
      <c r="J7" t="inlineStr">
        <is>
          <t>YES</t>
        </is>
      </c>
    </row>
    <row r="8">
      <c r="A8" t="inlineStr">
        <is>
          <t>W15</t>
        </is>
      </c>
      <c r="B8" t="n">
        <v>1</v>
      </c>
      <c r="C8" t="n">
        <v>1</v>
      </c>
      <c r="D8" t="inlineStr">
        <is>
          <t>kept</t>
        </is>
      </c>
      <c r="E8" t="n">
        <v>709.42</v>
      </c>
      <c r="F8" t="n">
        <v>0</v>
      </c>
      <c r="G8" t="n">
        <v>839</v>
      </c>
      <c r="H8" t="n">
        <v>839</v>
      </c>
      <c r="I8" t="n">
        <v>100</v>
      </c>
      <c r="J8" t="inlineStr">
        <is>
          <t>YES</t>
        </is>
      </c>
    </row>
    <row r="9">
      <c r="A9" t="inlineStr">
        <is>
          <t>W2</t>
        </is>
      </c>
      <c r="B9" t="n">
        <v>1</v>
      </c>
      <c r="C9" t="n">
        <v>1</v>
      </c>
      <c r="D9" t="inlineStr">
        <is>
          <t>kept</t>
        </is>
      </c>
      <c r="E9" t="n">
        <v>1872.1</v>
      </c>
      <c r="F9" t="n">
        <v>0</v>
      </c>
      <c r="G9" t="n">
        <v>2389</v>
      </c>
      <c r="H9" t="n">
        <v>324</v>
      </c>
      <c r="I9" t="n">
        <v>13.6</v>
      </c>
      <c r="J9" t="inlineStr">
        <is>
          <t>YES</t>
        </is>
      </c>
    </row>
    <row r="10">
      <c r="A10" t="inlineStr">
        <is>
          <t>W3</t>
        </is>
      </c>
      <c r="B10" t="n">
        <v>1</v>
      </c>
      <c r="C10" t="n">
        <v>1</v>
      </c>
      <c r="D10" t="inlineStr">
        <is>
          <t>kept</t>
        </is>
      </c>
      <c r="E10" t="n">
        <v>1846.51</v>
      </c>
      <c r="F10" t="n">
        <v>0</v>
      </c>
      <c r="G10" t="n">
        <v>2387</v>
      </c>
      <c r="H10" t="n">
        <v>648</v>
      </c>
      <c r="I10" t="n">
        <v>27.1</v>
      </c>
      <c r="J10" t="inlineStr">
        <is>
          <t>YES</t>
        </is>
      </c>
    </row>
    <row r="11">
      <c r="A11" t="inlineStr">
        <is>
          <t>W4</t>
        </is>
      </c>
      <c r="B11" t="n">
        <v>1</v>
      </c>
      <c r="C11" t="n">
        <v>1</v>
      </c>
      <c r="D11" t="inlineStr">
        <is>
          <t>kept</t>
        </is>
      </c>
      <c r="E11" t="n">
        <v>1454.07</v>
      </c>
      <c r="F11" t="n">
        <v>0</v>
      </c>
      <c r="G11" t="n">
        <v>1495</v>
      </c>
      <c r="H11" t="n">
        <v>695</v>
      </c>
      <c r="I11" t="n">
        <v>46.5</v>
      </c>
      <c r="J11" t="inlineStr">
        <is>
          <t>YES</t>
        </is>
      </c>
    </row>
    <row r="12">
      <c r="A12" t="inlineStr">
        <is>
          <t>W5</t>
        </is>
      </c>
      <c r="B12" t="n">
        <v>1</v>
      </c>
      <c r="C12" t="n">
        <v>1</v>
      </c>
      <c r="D12" t="inlineStr">
        <is>
          <t>kept</t>
        </is>
      </c>
      <c r="E12" t="n">
        <v>2163.27</v>
      </c>
      <c r="F12" t="n">
        <v>0</v>
      </c>
      <c r="G12" t="n">
        <v>2102</v>
      </c>
      <c r="H12" t="n">
        <v>477</v>
      </c>
      <c r="I12" t="n">
        <v>22.7</v>
      </c>
      <c r="J12" t="inlineStr">
        <is>
          <t>YES</t>
        </is>
      </c>
    </row>
    <row r="13">
      <c r="A13" t="inlineStr">
        <is>
          <t>W6</t>
        </is>
      </c>
      <c r="B13" t="n">
        <v>1</v>
      </c>
      <c r="C13" t="n">
        <v>1</v>
      </c>
      <c r="D13" t="inlineStr">
        <is>
          <t>kept</t>
        </is>
      </c>
      <c r="E13" t="n">
        <v>1667.39</v>
      </c>
      <c r="F13" t="n">
        <v>0</v>
      </c>
      <c r="G13" t="n">
        <v>1898</v>
      </c>
      <c r="H13" t="n">
        <v>537</v>
      </c>
      <c r="I13" t="n">
        <v>28.3</v>
      </c>
      <c r="J13" t="inlineStr">
        <is>
          <t>YES</t>
        </is>
      </c>
    </row>
    <row r="14">
      <c r="A14" t="inlineStr">
        <is>
          <t>W7</t>
        </is>
      </c>
      <c r="B14" t="n">
        <v>1</v>
      </c>
      <c r="C14" t="n">
        <v>1</v>
      </c>
      <c r="D14" t="inlineStr">
        <is>
          <t>kept</t>
        </is>
      </c>
      <c r="E14" t="n">
        <v>2160.25</v>
      </c>
      <c r="F14" t="n">
        <v>0</v>
      </c>
      <c r="G14" t="n">
        <v>2488</v>
      </c>
      <c r="H14" t="n">
        <v>252</v>
      </c>
      <c r="I14" t="n">
        <v>10.1</v>
      </c>
      <c r="J14" t="inlineStr">
        <is>
          <t>YES</t>
        </is>
      </c>
    </row>
    <row r="15">
      <c r="A15" t="inlineStr">
        <is>
          <t>W8</t>
        </is>
      </c>
      <c r="B15" t="n">
        <v>1</v>
      </c>
      <c r="C15" t="n">
        <v>1</v>
      </c>
      <c r="D15" t="inlineStr">
        <is>
          <t>kept</t>
        </is>
      </c>
      <c r="E15" t="n">
        <v>2300.39</v>
      </c>
      <c r="F15" t="n">
        <v>0</v>
      </c>
      <c r="G15" t="n">
        <v>2278</v>
      </c>
      <c r="H15" t="n">
        <v>468</v>
      </c>
      <c r="I15" t="n">
        <v>20.5</v>
      </c>
      <c r="J15" t="inlineStr">
        <is>
          <t>YES</t>
        </is>
      </c>
    </row>
    <row r="16">
      <c r="A16" t="inlineStr">
        <is>
          <t>W9</t>
        </is>
      </c>
      <c r="B16" t="n">
        <v>0</v>
      </c>
      <c r="C16" t="n">
        <v>0</v>
      </c>
      <c r="D16" t="inlineStr">
        <is>
          <t>unused</t>
        </is>
      </c>
      <c r="E16" t="n">
        <v>1366.1</v>
      </c>
      <c r="F16" t="n">
        <v>0</v>
      </c>
      <c r="G16" t="n">
        <v>1439</v>
      </c>
      <c r="H16" t="n">
        <v>0</v>
      </c>
      <c r="I16" t="inlineStr"/>
      <c r="J16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activated_baseline</t>
        </is>
      </c>
      <c r="C1" s="1" t="inlineStr">
        <is>
          <t>activated_scenario</t>
        </is>
      </c>
      <c r="D1" s="1" t="inlineStr">
        <is>
          <t>status_vs_baseline</t>
        </is>
      </c>
      <c r="E1" s="1" t="inlineStr">
        <is>
          <t>source</t>
        </is>
      </c>
      <c r="F1" s="1" t="inlineStr">
        <is>
          <t>target</t>
        </is>
      </c>
      <c r="G1" s="1" t="inlineStr">
        <is>
          <t>total_flow</t>
        </is>
      </c>
      <c r="H1" s="1" t="inlineStr">
        <is>
          <t>capacity</t>
        </is>
      </c>
      <c r="I1" s="1" t="inlineStr">
        <is>
          <t>utilization_%</t>
        </is>
      </c>
      <c r="J1" s="1" t="inlineStr">
        <is>
          <t>fixed_cost</t>
        </is>
      </c>
      <c r="K1" s="1" t="inlineStr">
        <is>
          <t>cost_charged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locked_by_R</t>
        </is>
      </c>
    </row>
    <row r="2">
      <c r="A2" t="inlineStr">
        <is>
          <t>A225</t>
        </is>
      </c>
      <c r="B2" t="n">
        <v>1</v>
      </c>
      <c r="C2" t="n">
        <v>1</v>
      </c>
      <c r="D2" t="inlineStr">
        <is>
          <t>kept</t>
        </is>
      </c>
      <c r="E2" t="inlineStr">
        <is>
          <t>W11</t>
        </is>
      </c>
      <c r="F2" t="inlineStr">
        <is>
          <t>C1</t>
        </is>
      </c>
      <c r="G2" t="n">
        <v>222</v>
      </c>
      <c r="H2" t="n">
        <v>515</v>
      </c>
      <c r="I2" t="n">
        <v>43.1</v>
      </c>
      <c r="J2" t="n">
        <v>816.76</v>
      </c>
      <c r="K2" t="n">
        <v>0</v>
      </c>
      <c r="L2" t="inlineStr">
        <is>
          <t>road</t>
        </is>
      </c>
      <c r="M2" t="n">
        <v>550</v>
      </c>
      <c r="N2" t="inlineStr">
        <is>
          <t>YES</t>
        </is>
      </c>
    </row>
    <row r="3">
      <c r="A3" t="inlineStr">
        <is>
          <t>A235</t>
        </is>
      </c>
      <c r="B3" t="n">
        <v>1</v>
      </c>
      <c r="C3" t="n">
        <v>1</v>
      </c>
      <c r="D3" t="inlineStr">
        <is>
          <t>kept</t>
        </is>
      </c>
      <c r="E3" t="inlineStr">
        <is>
          <t>W12</t>
        </is>
      </c>
      <c r="F3" t="inlineStr">
        <is>
          <t>C4</t>
        </is>
      </c>
      <c r="G3" t="n">
        <v>231</v>
      </c>
      <c r="H3" t="n">
        <v>546</v>
      </c>
      <c r="I3" t="n">
        <v>42.3</v>
      </c>
      <c r="J3" t="n">
        <v>2169.45</v>
      </c>
      <c r="K3" t="n">
        <v>0</v>
      </c>
      <c r="L3" t="inlineStr">
        <is>
          <t>road</t>
        </is>
      </c>
      <c r="M3" t="n">
        <v>402.8</v>
      </c>
      <c r="N3" t="inlineStr">
        <is>
          <t>YES</t>
        </is>
      </c>
    </row>
    <row r="4">
      <c r="A4" t="inlineStr">
        <is>
          <t>A242</t>
        </is>
      </c>
      <c r="B4" t="n">
        <v>1</v>
      </c>
      <c r="C4" t="n">
        <v>1</v>
      </c>
      <c r="D4" t="inlineStr">
        <is>
          <t>kept</t>
        </is>
      </c>
      <c r="E4" t="inlineStr">
        <is>
          <t>W10</t>
        </is>
      </c>
      <c r="F4" t="inlineStr">
        <is>
          <t>C6</t>
        </is>
      </c>
      <c r="G4" t="n">
        <v>190</v>
      </c>
      <c r="H4" t="n">
        <v>549</v>
      </c>
      <c r="I4" t="n">
        <v>34.6</v>
      </c>
      <c r="J4" t="n">
        <v>2080.01</v>
      </c>
      <c r="K4" t="n">
        <v>0</v>
      </c>
      <c r="L4" t="inlineStr">
        <is>
          <t>road</t>
        </is>
      </c>
      <c r="M4" t="n">
        <v>362.3</v>
      </c>
      <c r="N4" t="inlineStr">
        <is>
          <t>YES</t>
        </is>
      </c>
    </row>
    <row r="5">
      <c r="A5" t="inlineStr">
        <is>
          <t>A261</t>
        </is>
      </c>
      <c r="B5" t="n">
        <v>1</v>
      </c>
      <c r="C5" t="n">
        <v>1</v>
      </c>
      <c r="D5" t="inlineStr">
        <is>
          <t>kept</t>
        </is>
      </c>
      <c r="E5" t="inlineStr">
        <is>
          <t>W1</t>
        </is>
      </c>
      <c r="F5" t="inlineStr">
        <is>
          <t>C13</t>
        </is>
      </c>
      <c r="G5" t="n">
        <v>228</v>
      </c>
      <c r="H5" t="n">
        <v>510</v>
      </c>
      <c r="I5" t="n">
        <v>44.7</v>
      </c>
      <c r="J5" t="n">
        <v>2051.09</v>
      </c>
      <c r="K5" t="n">
        <v>0</v>
      </c>
      <c r="L5" t="inlineStr">
        <is>
          <t>road</t>
        </is>
      </c>
      <c r="M5" t="n">
        <v>119.3</v>
      </c>
      <c r="N5" t="inlineStr">
        <is>
          <t>YES</t>
        </is>
      </c>
    </row>
    <row r="6">
      <c r="A6" t="inlineStr">
        <is>
          <t>A278</t>
        </is>
      </c>
      <c r="B6" t="n">
        <v>1</v>
      </c>
      <c r="C6" t="n">
        <v>1</v>
      </c>
      <c r="D6" t="inlineStr">
        <is>
          <t>kept</t>
        </is>
      </c>
      <c r="E6" t="inlineStr">
        <is>
          <t>W14</t>
        </is>
      </c>
      <c r="F6" t="inlineStr">
        <is>
          <t>C18</t>
        </is>
      </c>
      <c r="G6" t="n">
        <v>179</v>
      </c>
      <c r="H6" t="n">
        <v>669</v>
      </c>
      <c r="I6" t="n">
        <v>26.8</v>
      </c>
      <c r="J6" t="n">
        <v>1809.56</v>
      </c>
      <c r="K6" t="n">
        <v>0</v>
      </c>
      <c r="L6" t="inlineStr">
        <is>
          <t>road</t>
        </is>
      </c>
      <c r="M6" t="n">
        <v>2853.9</v>
      </c>
      <c r="N6" t="inlineStr">
        <is>
          <t>YES</t>
        </is>
      </c>
    </row>
    <row r="7">
      <c r="A7" t="inlineStr">
        <is>
          <t>A285</t>
        </is>
      </c>
      <c r="B7" t="n">
        <v>1</v>
      </c>
      <c r="C7" t="n">
        <v>1</v>
      </c>
      <c r="D7" t="inlineStr">
        <is>
          <t>kept</t>
        </is>
      </c>
      <c r="E7" t="inlineStr">
        <is>
          <t>W14</t>
        </is>
      </c>
      <c r="F7" t="inlineStr">
        <is>
          <t>C21</t>
        </is>
      </c>
      <c r="G7" t="n">
        <v>41</v>
      </c>
      <c r="H7" t="n">
        <v>1073</v>
      </c>
      <c r="I7" t="n">
        <v>3.8</v>
      </c>
      <c r="J7" t="n">
        <v>1260.02</v>
      </c>
      <c r="K7" t="n">
        <v>0</v>
      </c>
      <c r="L7" t="inlineStr">
        <is>
          <t>road</t>
        </is>
      </c>
      <c r="M7" t="n">
        <v>2835.1</v>
      </c>
      <c r="N7" t="inlineStr">
        <is>
          <t>YES</t>
        </is>
      </c>
    </row>
    <row r="8">
      <c r="A8" t="inlineStr">
        <is>
          <t>A288</t>
        </is>
      </c>
      <c r="B8" t="n">
        <v>1</v>
      </c>
      <c r="C8" t="n">
        <v>1</v>
      </c>
      <c r="D8" t="inlineStr">
        <is>
          <t>kept</t>
        </is>
      </c>
      <c r="E8" t="inlineStr">
        <is>
          <t>W7</t>
        </is>
      </c>
      <c r="F8" t="inlineStr">
        <is>
          <t>C22</t>
        </is>
      </c>
      <c r="G8" t="n">
        <v>252</v>
      </c>
      <c r="H8" t="n">
        <v>983</v>
      </c>
      <c r="I8" t="n">
        <v>25.6</v>
      </c>
      <c r="J8" t="n">
        <v>2244.77</v>
      </c>
      <c r="K8" t="n">
        <v>0</v>
      </c>
      <c r="L8" t="inlineStr">
        <is>
          <t>road</t>
        </is>
      </c>
      <c r="M8" t="n">
        <v>1.1</v>
      </c>
      <c r="N8" t="inlineStr">
        <is>
          <t>YES</t>
        </is>
      </c>
    </row>
    <row r="9">
      <c r="A9" t="inlineStr">
        <is>
          <t>A291</t>
        </is>
      </c>
      <c r="B9" t="n">
        <v>1</v>
      </c>
      <c r="C9" t="n">
        <v>1</v>
      </c>
      <c r="D9" t="inlineStr">
        <is>
          <t>kept</t>
        </is>
      </c>
      <c r="E9" t="inlineStr">
        <is>
          <t>W6</t>
        </is>
      </c>
      <c r="F9" t="inlineStr">
        <is>
          <t>C23</t>
        </is>
      </c>
      <c r="G9" t="n">
        <v>214</v>
      </c>
      <c r="H9" t="n">
        <v>868</v>
      </c>
      <c r="I9" t="n">
        <v>24.7</v>
      </c>
      <c r="J9" t="n">
        <v>2341.86</v>
      </c>
      <c r="K9" t="n">
        <v>0</v>
      </c>
      <c r="L9" t="inlineStr">
        <is>
          <t>road</t>
        </is>
      </c>
      <c r="M9" t="n">
        <v>0</v>
      </c>
      <c r="N9" t="inlineStr">
        <is>
          <t>YES</t>
        </is>
      </c>
    </row>
    <row r="10">
      <c r="A10" t="inlineStr">
        <is>
          <t>A294</t>
        </is>
      </c>
      <c r="B10" t="n">
        <v>1</v>
      </c>
      <c r="C10" t="n">
        <v>1</v>
      </c>
      <c r="D10" t="inlineStr">
        <is>
          <t>kept</t>
        </is>
      </c>
      <c r="E10" t="inlineStr">
        <is>
          <t>W6</t>
        </is>
      </c>
      <c r="F10" t="inlineStr">
        <is>
          <t>C24</t>
        </is>
      </c>
      <c r="G10" t="n">
        <v>201</v>
      </c>
      <c r="H10" t="n">
        <v>389</v>
      </c>
      <c r="I10" t="n">
        <v>51.7</v>
      </c>
      <c r="J10" t="n">
        <v>1767.5</v>
      </c>
      <c r="K10" t="n">
        <v>0</v>
      </c>
      <c r="L10" t="inlineStr">
        <is>
          <t>road</t>
        </is>
      </c>
      <c r="M10" t="n">
        <v>139.6</v>
      </c>
      <c r="N10" t="inlineStr">
        <is>
          <t>YES</t>
        </is>
      </c>
    </row>
    <row r="11">
      <c r="A11" t="inlineStr">
        <is>
          <t>A309</t>
        </is>
      </c>
      <c r="B11" t="n">
        <v>1</v>
      </c>
      <c r="C11" t="n">
        <v>1</v>
      </c>
      <c r="D11" t="inlineStr">
        <is>
          <t>kept</t>
        </is>
      </c>
      <c r="E11" t="inlineStr">
        <is>
          <t>W4</t>
        </is>
      </c>
      <c r="F11" t="inlineStr">
        <is>
          <t>C28</t>
        </is>
      </c>
      <c r="G11" t="n">
        <v>176</v>
      </c>
      <c r="H11" t="n">
        <v>429</v>
      </c>
      <c r="I11" t="n">
        <v>41</v>
      </c>
      <c r="J11" t="n">
        <v>1422.3</v>
      </c>
      <c r="K11" t="n">
        <v>0</v>
      </c>
      <c r="L11" t="inlineStr">
        <is>
          <t>road</t>
        </is>
      </c>
      <c r="M11" t="n">
        <v>0</v>
      </c>
      <c r="N11" t="inlineStr">
        <is>
          <t>YES</t>
        </is>
      </c>
    </row>
    <row r="12">
      <c r="A12" t="inlineStr">
        <is>
          <t>A315</t>
        </is>
      </c>
      <c r="B12" t="n">
        <v>1</v>
      </c>
      <c r="C12" t="n">
        <v>1</v>
      </c>
      <c r="D12" t="inlineStr">
        <is>
          <t>kept</t>
        </is>
      </c>
      <c r="E12" t="inlineStr">
        <is>
          <t>W5</t>
        </is>
      </c>
      <c r="F12" t="inlineStr">
        <is>
          <t>C30</t>
        </is>
      </c>
      <c r="G12" t="n">
        <v>87</v>
      </c>
      <c r="H12" t="n">
        <v>611</v>
      </c>
      <c r="I12" t="n">
        <v>14.2</v>
      </c>
      <c r="J12" t="n">
        <v>1675.14</v>
      </c>
      <c r="K12" t="n">
        <v>0</v>
      </c>
      <c r="L12" t="inlineStr">
        <is>
          <t>road</t>
        </is>
      </c>
      <c r="M12" t="n">
        <v>1358.2</v>
      </c>
      <c r="N12" t="inlineStr">
        <is>
          <t>YES</t>
        </is>
      </c>
    </row>
    <row r="13">
      <c r="A13" t="inlineStr">
        <is>
          <t>A184</t>
        </is>
      </c>
      <c r="B13" t="n">
        <v>0</v>
      </c>
      <c r="C13" t="n">
        <v>0</v>
      </c>
      <c r="D13" t="inlineStr">
        <is>
          <t>unused</t>
        </is>
      </c>
      <c r="E13" t="inlineStr">
        <is>
          <t>W1</t>
        </is>
      </c>
      <c r="F13" t="inlineStr">
        <is>
          <t>W3</t>
        </is>
      </c>
      <c r="G13" t="n">
        <v>0</v>
      </c>
      <c r="H13" t="n">
        <v>1148</v>
      </c>
      <c r="I13" t="inlineStr"/>
      <c r="J13" t="n">
        <v>1500.94</v>
      </c>
      <c r="K13" t="n">
        <v>0</v>
      </c>
      <c r="L13" t="inlineStr">
        <is>
          <t>road</t>
        </is>
      </c>
      <c r="M13" t="n">
        <v>1127.8</v>
      </c>
      <c r="N13" t="inlineStr">
        <is>
          <t>YES</t>
        </is>
      </c>
    </row>
    <row r="14">
      <c r="A14" t="inlineStr">
        <is>
          <t>A185</t>
        </is>
      </c>
      <c r="B14" t="n">
        <v>0</v>
      </c>
      <c r="C14" t="n">
        <v>0</v>
      </c>
      <c r="D14" t="inlineStr">
        <is>
          <t>unused</t>
        </is>
      </c>
      <c r="E14" t="inlineStr">
        <is>
          <t>W3</t>
        </is>
      </c>
      <c r="F14" t="inlineStr">
        <is>
          <t>W1</t>
        </is>
      </c>
      <c r="G14" t="n">
        <v>0</v>
      </c>
      <c r="H14" t="n">
        <v>744</v>
      </c>
      <c r="I14" t="inlineStr"/>
      <c r="J14" t="n">
        <v>660.88</v>
      </c>
      <c r="K14" t="n">
        <v>0</v>
      </c>
      <c r="L14" t="inlineStr">
        <is>
          <t>road</t>
        </is>
      </c>
      <c r="M14" t="n">
        <v>1127.8</v>
      </c>
      <c r="N14" t="inlineStr">
        <is>
          <t>YES</t>
        </is>
      </c>
    </row>
    <row r="15">
      <c r="A15" t="inlineStr">
        <is>
          <t>A187</t>
        </is>
      </c>
      <c r="B15" t="n">
        <v>0</v>
      </c>
      <c r="C15" t="n">
        <v>0</v>
      </c>
      <c r="D15" t="inlineStr">
        <is>
          <t>unused</t>
        </is>
      </c>
      <c r="E15" t="inlineStr">
        <is>
          <t>W11</t>
        </is>
      </c>
      <c r="F15" t="inlineStr">
        <is>
          <t>W1</t>
        </is>
      </c>
      <c r="G15" t="n">
        <v>0</v>
      </c>
      <c r="H15" t="n">
        <v>689</v>
      </c>
      <c r="I15" t="inlineStr"/>
      <c r="J15" t="n">
        <v>1144.64</v>
      </c>
      <c r="K15" t="n">
        <v>0</v>
      </c>
      <c r="L15" t="inlineStr">
        <is>
          <t>sea</t>
        </is>
      </c>
      <c r="M15" t="n">
        <v>5978.7</v>
      </c>
      <c r="N15" t="inlineStr">
        <is>
          <t>YES</t>
        </is>
      </c>
    </row>
    <row r="16">
      <c r="A16" t="inlineStr">
        <is>
          <t>A188</t>
        </is>
      </c>
      <c r="B16" t="n">
        <v>0</v>
      </c>
      <c r="C16" t="n">
        <v>0</v>
      </c>
      <c r="D16" t="inlineStr">
        <is>
          <t>unused</t>
        </is>
      </c>
      <c r="E16" t="inlineStr">
        <is>
          <t>W1</t>
        </is>
      </c>
      <c r="F16" t="inlineStr">
        <is>
          <t>W12</t>
        </is>
      </c>
      <c r="G16" t="n">
        <v>0</v>
      </c>
      <c r="H16" t="n">
        <v>525</v>
      </c>
      <c r="I16" t="inlineStr"/>
      <c r="J16" t="n">
        <v>682.65</v>
      </c>
      <c r="K16" t="n">
        <v>0</v>
      </c>
      <c r="L16" t="inlineStr">
        <is>
          <t>sea</t>
        </is>
      </c>
      <c r="M16" t="n">
        <v>5491.6</v>
      </c>
      <c r="N16" t="inlineStr">
        <is>
          <t>YES</t>
        </is>
      </c>
    </row>
    <row r="17">
      <c r="A17" t="inlineStr">
        <is>
          <t>A190</t>
        </is>
      </c>
      <c r="B17" t="n">
        <v>0</v>
      </c>
      <c r="C17" t="n">
        <v>0</v>
      </c>
      <c r="D17" t="inlineStr">
        <is>
          <t>unused</t>
        </is>
      </c>
      <c r="E17" t="inlineStr">
        <is>
          <t>W1</t>
        </is>
      </c>
      <c r="F17" t="inlineStr">
        <is>
          <t>W14</t>
        </is>
      </c>
      <c r="G17" t="n">
        <v>0</v>
      </c>
      <c r="H17" t="n">
        <v>1052</v>
      </c>
      <c r="I17" t="inlineStr"/>
      <c r="J17" t="n">
        <v>1650.4</v>
      </c>
      <c r="K17" t="n">
        <v>0</v>
      </c>
      <c r="L17" t="inlineStr">
        <is>
          <t>sea</t>
        </is>
      </c>
      <c r="M17" t="n">
        <v>8577.6</v>
      </c>
      <c r="N17" t="inlineStr">
        <is>
          <t>YES</t>
        </is>
      </c>
    </row>
    <row r="18">
      <c r="A18" t="inlineStr">
        <is>
          <t>A192</t>
        </is>
      </c>
      <c r="B18" t="n">
        <v>0</v>
      </c>
      <c r="C18" t="n">
        <v>0</v>
      </c>
      <c r="D18" t="inlineStr">
        <is>
          <t>unused</t>
        </is>
      </c>
      <c r="E18" t="inlineStr">
        <is>
          <t>W2</t>
        </is>
      </c>
      <c r="F18" t="inlineStr">
        <is>
          <t>W8</t>
        </is>
      </c>
      <c r="G18" t="n">
        <v>0</v>
      </c>
      <c r="H18" t="n">
        <v>1200</v>
      </c>
      <c r="I18" t="inlineStr"/>
      <c r="J18" t="n">
        <v>1844.56</v>
      </c>
      <c r="K18" t="n">
        <v>0</v>
      </c>
      <c r="L18" t="inlineStr">
        <is>
          <t>sea</t>
        </is>
      </c>
      <c r="M18" t="n">
        <v>10511.1</v>
      </c>
      <c r="N18" t="inlineStr">
        <is>
          <t>YES</t>
        </is>
      </c>
    </row>
    <row r="19">
      <c r="A19" t="inlineStr">
        <is>
          <t>A199</t>
        </is>
      </c>
      <c r="B19" t="n">
        <v>0</v>
      </c>
      <c r="C19" t="n">
        <v>0</v>
      </c>
      <c r="D19" t="inlineStr">
        <is>
          <t>unused</t>
        </is>
      </c>
      <c r="E19" t="inlineStr">
        <is>
          <t>W4</t>
        </is>
      </c>
      <c r="F19" t="inlineStr">
        <is>
          <t>W3</t>
        </is>
      </c>
      <c r="G19" t="n">
        <v>0</v>
      </c>
      <c r="H19" t="n">
        <v>463</v>
      </c>
      <c r="I19" t="inlineStr"/>
      <c r="J19" t="n">
        <v>1670.66</v>
      </c>
      <c r="K19" t="n">
        <v>0</v>
      </c>
      <c r="L19" t="inlineStr">
        <is>
          <t>sea</t>
        </is>
      </c>
      <c r="M19" t="n">
        <v>5781</v>
      </c>
      <c r="N19" t="inlineStr">
        <is>
          <t>YES</t>
        </is>
      </c>
    </row>
    <row r="20">
      <c r="A20" t="inlineStr">
        <is>
          <t>A203</t>
        </is>
      </c>
      <c r="B20" t="n">
        <v>0</v>
      </c>
      <c r="C20" t="n">
        <v>0</v>
      </c>
      <c r="D20" t="inlineStr">
        <is>
          <t>unused</t>
        </is>
      </c>
      <c r="E20" t="inlineStr">
        <is>
          <t>W7</t>
        </is>
      </c>
      <c r="F20" t="inlineStr">
        <is>
          <t>W4</t>
        </is>
      </c>
      <c r="G20" t="n">
        <v>0</v>
      </c>
      <c r="H20" t="n">
        <v>613</v>
      </c>
      <c r="I20" t="inlineStr"/>
      <c r="J20" t="n">
        <v>1166.62</v>
      </c>
      <c r="K20" t="n">
        <v>0</v>
      </c>
      <c r="L20" t="inlineStr">
        <is>
          <t>sea</t>
        </is>
      </c>
      <c r="M20" t="n">
        <v>6723.4</v>
      </c>
      <c r="N20" t="inlineStr">
        <is>
          <t>YES</t>
        </is>
      </c>
    </row>
    <row r="21">
      <c r="A21" t="inlineStr">
        <is>
          <t>A205</t>
        </is>
      </c>
      <c r="B21" t="n">
        <v>0</v>
      </c>
      <c r="C21" t="n">
        <v>0</v>
      </c>
      <c r="D21" t="inlineStr">
        <is>
          <t>unused</t>
        </is>
      </c>
      <c r="E21" t="inlineStr">
        <is>
          <t>W8</t>
        </is>
      </c>
      <c r="F21" t="inlineStr">
        <is>
          <t>W4</t>
        </is>
      </c>
      <c r="G21" t="n">
        <v>0</v>
      </c>
      <c r="H21" t="n">
        <v>1072</v>
      </c>
      <c r="I21" t="inlineStr"/>
      <c r="J21" t="n">
        <v>1159.61</v>
      </c>
      <c r="K21" t="n">
        <v>0</v>
      </c>
      <c r="L21" t="inlineStr">
        <is>
          <t>sea</t>
        </is>
      </c>
      <c r="M21" t="n">
        <v>4284.5</v>
      </c>
      <c r="N21" t="inlineStr">
        <is>
          <t>YES</t>
        </is>
      </c>
    </row>
    <row r="22">
      <c r="A22" t="inlineStr">
        <is>
          <t>A207</t>
        </is>
      </c>
      <c r="B22" t="n">
        <v>0</v>
      </c>
      <c r="C22" t="n">
        <v>0</v>
      </c>
      <c r="D22" t="inlineStr">
        <is>
          <t>unused</t>
        </is>
      </c>
      <c r="E22" t="inlineStr">
        <is>
          <t>W15</t>
        </is>
      </c>
      <c r="F22" t="inlineStr">
        <is>
          <t>W4</t>
        </is>
      </c>
      <c r="G22" t="n">
        <v>0</v>
      </c>
      <c r="H22" t="n">
        <v>559</v>
      </c>
      <c r="I22" t="inlineStr"/>
      <c r="J22" t="n">
        <v>2390.39</v>
      </c>
      <c r="K22" t="n">
        <v>0</v>
      </c>
      <c r="L22" t="inlineStr">
        <is>
          <t>road</t>
        </is>
      </c>
      <c r="M22" t="n">
        <v>845.4</v>
      </c>
      <c r="N22" t="inlineStr">
        <is>
          <t>YES</t>
        </is>
      </c>
    </row>
    <row r="23">
      <c r="A23" t="inlineStr">
        <is>
          <t>A209</t>
        </is>
      </c>
      <c r="B23" t="n">
        <v>0</v>
      </c>
      <c r="C23" t="n">
        <v>0</v>
      </c>
      <c r="D23" t="inlineStr">
        <is>
          <t>unused</t>
        </is>
      </c>
      <c r="E23" t="inlineStr">
        <is>
          <t>W8</t>
        </is>
      </c>
      <c r="F23" t="inlineStr">
        <is>
          <t>W5</t>
        </is>
      </c>
      <c r="G23" t="n">
        <v>0</v>
      </c>
      <c r="H23" t="n">
        <v>795</v>
      </c>
      <c r="I23" t="inlineStr"/>
      <c r="J23" t="n">
        <v>1409.65</v>
      </c>
      <c r="K23" t="n">
        <v>0</v>
      </c>
      <c r="L23" t="inlineStr">
        <is>
          <t>sea</t>
        </is>
      </c>
      <c r="M23" t="n">
        <v>3718.7</v>
      </c>
      <c r="N23" t="inlineStr">
        <is>
          <t>YES</t>
        </is>
      </c>
    </row>
    <row r="24">
      <c r="A24" t="inlineStr">
        <is>
          <t>A210</t>
        </is>
      </c>
      <c r="B24" t="n">
        <v>0</v>
      </c>
      <c r="C24" t="n">
        <v>0</v>
      </c>
      <c r="D24" t="inlineStr">
        <is>
          <t>unused</t>
        </is>
      </c>
      <c r="E24" t="inlineStr">
        <is>
          <t>W5</t>
        </is>
      </c>
      <c r="F24" t="inlineStr">
        <is>
          <t>W15</t>
        </is>
      </c>
      <c r="G24" t="n">
        <v>0</v>
      </c>
      <c r="H24" t="n">
        <v>583</v>
      </c>
      <c r="I24" t="inlineStr"/>
      <c r="J24" t="n">
        <v>1146.55</v>
      </c>
      <c r="K24" t="n">
        <v>0</v>
      </c>
      <c r="L24" t="inlineStr">
        <is>
          <t>road</t>
        </is>
      </c>
      <c r="M24" t="n">
        <v>290.6</v>
      </c>
      <c r="N24" t="inlineStr">
        <is>
          <t>YES</t>
        </is>
      </c>
    </row>
    <row r="25">
      <c r="A25" t="inlineStr">
        <is>
          <t>A213</t>
        </is>
      </c>
      <c r="B25" t="n">
        <v>0</v>
      </c>
      <c r="C25" t="n">
        <v>0</v>
      </c>
      <c r="D25" t="inlineStr">
        <is>
          <t>unused</t>
        </is>
      </c>
      <c r="E25" t="inlineStr">
        <is>
          <t>W8</t>
        </is>
      </c>
      <c r="F25" t="inlineStr">
        <is>
          <t>W7</t>
        </is>
      </c>
      <c r="G25" t="n">
        <v>0</v>
      </c>
      <c r="H25" t="n">
        <v>763</v>
      </c>
      <c r="I25" t="inlineStr"/>
      <c r="J25" t="n">
        <v>2476.24</v>
      </c>
      <c r="K25" t="n">
        <v>0</v>
      </c>
      <c r="L25" t="inlineStr">
        <is>
          <t>road</t>
        </is>
      </c>
      <c r="M25" t="n">
        <v>2873.5</v>
      </c>
      <c r="N25" t="inlineStr">
        <is>
          <t>YES</t>
        </is>
      </c>
    </row>
    <row r="26">
      <c r="A26" t="inlineStr">
        <is>
          <t>A214</t>
        </is>
      </c>
      <c r="B26" t="n">
        <v>0</v>
      </c>
      <c r="C26" t="n">
        <v>0</v>
      </c>
      <c r="D26" t="inlineStr">
        <is>
          <t>unused</t>
        </is>
      </c>
      <c r="E26" t="inlineStr">
        <is>
          <t>W9</t>
        </is>
      </c>
      <c r="F26" t="inlineStr">
        <is>
          <t>W15</t>
        </is>
      </c>
      <c r="G26" t="n">
        <v>0</v>
      </c>
      <c r="H26" t="n">
        <v>892</v>
      </c>
      <c r="I26" t="inlineStr"/>
      <c r="J26" t="n">
        <v>1585.19</v>
      </c>
      <c r="K26" t="n">
        <v>0</v>
      </c>
      <c r="L26" t="inlineStr">
        <is>
          <t>sea</t>
        </is>
      </c>
      <c r="M26" t="n">
        <v>9349.6</v>
      </c>
      <c r="N26" t="inlineStr">
        <is>
          <t>YES</t>
        </is>
      </c>
    </row>
    <row r="27">
      <c r="A27" t="inlineStr">
        <is>
          <t>A215</t>
        </is>
      </c>
      <c r="B27" t="n">
        <v>0</v>
      </c>
      <c r="C27" t="n">
        <v>0</v>
      </c>
      <c r="D27" t="inlineStr">
        <is>
          <t>unused</t>
        </is>
      </c>
      <c r="E27" t="inlineStr">
        <is>
          <t>W15</t>
        </is>
      </c>
      <c r="F27" t="inlineStr">
        <is>
          <t>W9</t>
        </is>
      </c>
      <c r="G27" t="n">
        <v>0</v>
      </c>
      <c r="H27" t="n">
        <v>672</v>
      </c>
      <c r="I27" t="inlineStr"/>
      <c r="J27" t="n">
        <v>875.17</v>
      </c>
      <c r="K27" t="n">
        <v>0</v>
      </c>
      <c r="L27" t="inlineStr">
        <is>
          <t>sea</t>
        </is>
      </c>
      <c r="M27" t="n">
        <v>9349.6</v>
      </c>
      <c r="N27" t="inlineStr">
        <is>
          <t>YES</t>
        </is>
      </c>
    </row>
    <row r="28">
      <c r="A28" t="inlineStr">
        <is>
          <t>A217</t>
        </is>
      </c>
      <c r="B28" t="n">
        <v>0</v>
      </c>
      <c r="C28" t="n">
        <v>0</v>
      </c>
      <c r="D28" t="inlineStr">
        <is>
          <t>unused</t>
        </is>
      </c>
      <c r="E28" t="inlineStr">
        <is>
          <t>W11</t>
        </is>
      </c>
      <c r="F28" t="inlineStr">
        <is>
          <t>W10</t>
        </is>
      </c>
      <c r="G28" t="n">
        <v>0</v>
      </c>
      <c r="H28" t="n">
        <v>981</v>
      </c>
      <c r="I28" t="inlineStr"/>
      <c r="J28" t="n">
        <v>1750.82</v>
      </c>
      <c r="K28" t="n">
        <v>0</v>
      </c>
      <c r="L28" t="inlineStr">
        <is>
          <t>road</t>
        </is>
      </c>
      <c r="M28" t="n">
        <v>2094.3</v>
      </c>
      <c r="N28" t="inlineStr">
        <is>
          <t>YES</t>
        </is>
      </c>
    </row>
    <row r="29">
      <c r="A29" t="inlineStr">
        <is>
          <t>A223</t>
        </is>
      </c>
      <c r="B29" t="n">
        <v>0</v>
      </c>
      <c r="C29" t="n">
        <v>0</v>
      </c>
      <c r="D29" t="inlineStr">
        <is>
          <t>unused</t>
        </is>
      </c>
      <c r="E29" t="inlineStr">
        <is>
          <t>W14</t>
        </is>
      </c>
      <c r="F29" t="inlineStr">
        <is>
          <t>W12</t>
        </is>
      </c>
      <c r="G29" t="n">
        <v>0</v>
      </c>
      <c r="H29" t="n">
        <v>928</v>
      </c>
      <c r="I29" t="inlineStr"/>
      <c r="J29" t="n">
        <v>742.85</v>
      </c>
      <c r="K29" t="n">
        <v>0</v>
      </c>
      <c r="L29" t="inlineStr">
        <is>
          <t>sea</t>
        </is>
      </c>
      <c r="M29" t="n">
        <v>5567.7</v>
      </c>
      <c r="N29" t="inlineStr">
        <is>
          <t>YES</t>
        </is>
      </c>
    </row>
    <row r="30">
      <c r="A30" t="inlineStr">
        <is>
          <t>A224</t>
        </is>
      </c>
      <c r="B30" t="n">
        <v>0</v>
      </c>
      <c r="C30" t="n">
        <v>0</v>
      </c>
      <c r="D30" t="inlineStr">
        <is>
          <t>unused</t>
        </is>
      </c>
      <c r="E30" t="inlineStr">
        <is>
          <t>W12</t>
        </is>
      </c>
      <c r="F30" t="inlineStr">
        <is>
          <t>C1</t>
        </is>
      </c>
      <c r="G30" t="n">
        <v>0</v>
      </c>
      <c r="H30" t="n">
        <v>1176</v>
      </c>
      <c r="I30" t="inlineStr"/>
      <c r="J30" t="n">
        <v>1717.74</v>
      </c>
      <c r="K30" t="n">
        <v>0</v>
      </c>
      <c r="L30" t="inlineStr">
        <is>
          <t>road</t>
        </is>
      </c>
      <c r="M30" t="n">
        <v>533.8</v>
      </c>
      <c r="N30" t="inlineStr">
        <is>
          <t>YES</t>
        </is>
      </c>
    </row>
    <row r="31">
      <c r="A31" t="inlineStr">
        <is>
          <t>A226</t>
        </is>
      </c>
      <c r="B31" t="n">
        <v>0</v>
      </c>
      <c r="C31" t="n">
        <v>0</v>
      </c>
      <c r="D31" t="inlineStr">
        <is>
          <t>unused</t>
        </is>
      </c>
      <c r="E31" t="inlineStr">
        <is>
          <t>W13</t>
        </is>
      </c>
      <c r="F31" t="inlineStr">
        <is>
          <t>C1</t>
        </is>
      </c>
      <c r="G31" t="n">
        <v>0</v>
      </c>
      <c r="H31" t="n">
        <v>796</v>
      </c>
      <c r="I31" t="inlineStr"/>
      <c r="J31" t="n">
        <v>1604.5</v>
      </c>
      <c r="K31" t="n">
        <v>0</v>
      </c>
      <c r="L31" t="inlineStr">
        <is>
          <t>road</t>
        </is>
      </c>
      <c r="M31" t="n">
        <v>2944.7</v>
      </c>
      <c r="N31" t="inlineStr">
        <is>
          <t>YES</t>
        </is>
      </c>
    </row>
    <row r="32">
      <c r="A32" t="inlineStr">
        <is>
          <t>A230</t>
        </is>
      </c>
      <c r="B32" t="n">
        <v>0</v>
      </c>
      <c r="C32" t="n">
        <v>0</v>
      </c>
      <c r="D32" t="inlineStr">
        <is>
          <t>unused</t>
        </is>
      </c>
      <c r="E32" t="inlineStr">
        <is>
          <t>W2</t>
        </is>
      </c>
      <c r="F32" t="inlineStr">
        <is>
          <t>C2</t>
        </is>
      </c>
      <c r="G32" t="n">
        <v>0</v>
      </c>
      <c r="H32" t="n">
        <v>715</v>
      </c>
      <c r="I32" t="inlineStr"/>
      <c r="J32" t="n">
        <v>734.9299999999999</v>
      </c>
      <c r="K32" t="n">
        <v>0</v>
      </c>
      <c r="L32" t="inlineStr">
        <is>
          <t>sea</t>
        </is>
      </c>
      <c r="M32" t="n">
        <v>9362.6</v>
      </c>
      <c r="N32" t="inlineStr">
        <is>
          <t>YES</t>
        </is>
      </c>
    </row>
    <row r="33">
      <c r="A33" t="inlineStr">
        <is>
          <t>A240</t>
        </is>
      </c>
      <c r="B33" t="n">
        <v>0</v>
      </c>
      <c r="C33" t="n">
        <v>0</v>
      </c>
      <c r="D33" t="inlineStr">
        <is>
          <t>unused</t>
        </is>
      </c>
      <c r="E33" t="inlineStr">
        <is>
          <t>W13</t>
        </is>
      </c>
      <c r="F33" t="inlineStr">
        <is>
          <t>C5</t>
        </is>
      </c>
      <c r="G33" t="n">
        <v>0</v>
      </c>
      <c r="H33" t="n">
        <v>1130</v>
      </c>
      <c r="I33" t="inlineStr"/>
      <c r="J33" t="n">
        <v>1516.48</v>
      </c>
      <c r="K33" t="n">
        <v>0</v>
      </c>
      <c r="L33" t="inlineStr">
        <is>
          <t>road</t>
        </is>
      </c>
      <c r="M33" t="n">
        <v>1777.1</v>
      </c>
      <c r="N33" t="inlineStr">
        <is>
          <t>YES</t>
        </is>
      </c>
    </row>
    <row r="34">
      <c r="A34" t="inlineStr">
        <is>
          <t>A241</t>
        </is>
      </c>
      <c r="B34" t="n">
        <v>0</v>
      </c>
      <c r="C34" t="n">
        <v>0</v>
      </c>
      <c r="D34" t="inlineStr">
        <is>
          <t>unused</t>
        </is>
      </c>
      <c r="E34" t="inlineStr">
        <is>
          <t>W2</t>
        </is>
      </c>
      <c r="F34" t="inlineStr">
        <is>
          <t>C5</t>
        </is>
      </c>
      <c r="G34" t="n">
        <v>0</v>
      </c>
      <c r="H34" t="n">
        <v>1091</v>
      </c>
      <c r="I34" t="inlineStr"/>
      <c r="J34" t="n">
        <v>2228.05</v>
      </c>
      <c r="K34" t="n">
        <v>0</v>
      </c>
      <c r="L34" t="inlineStr">
        <is>
          <t>sea</t>
        </is>
      </c>
      <c r="M34" t="n">
        <v>6943.4</v>
      </c>
      <c r="N34" t="inlineStr">
        <is>
          <t>YES</t>
        </is>
      </c>
    </row>
    <row r="35">
      <c r="A35" t="inlineStr">
        <is>
          <t>A251</t>
        </is>
      </c>
      <c r="B35" t="n">
        <v>0</v>
      </c>
      <c r="C35" t="n">
        <v>0</v>
      </c>
      <c r="D35" t="inlineStr">
        <is>
          <t>unused</t>
        </is>
      </c>
      <c r="E35" t="inlineStr">
        <is>
          <t>W2</t>
        </is>
      </c>
      <c r="F35" t="inlineStr">
        <is>
          <t>C9</t>
        </is>
      </c>
      <c r="G35" t="n">
        <v>0</v>
      </c>
      <c r="H35" t="n">
        <v>741</v>
      </c>
      <c r="I35" t="inlineStr"/>
      <c r="J35" t="n">
        <v>797.1900000000001</v>
      </c>
      <c r="K35" t="n">
        <v>0</v>
      </c>
      <c r="L35" t="inlineStr">
        <is>
          <t>road</t>
        </is>
      </c>
      <c r="M35" t="n">
        <v>1052.7</v>
      </c>
      <c r="N35" t="inlineStr">
        <is>
          <t>YES</t>
        </is>
      </c>
    </row>
    <row r="36">
      <c r="A36" t="inlineStr">
        <is>
          <t>A265</t>
        </is>
      </c>
      <c r="B36" t="n">
        <v>0</v>
      </c>
      <c r="C36" t="n">
        <v>0</v>
      </c>
      <c r="D36" t="inlineStr">
        <is>
          <t>unused</t>
        </is>
      </c>
      <c r="E36" t="inlineStr">
        <is>
          <t>W1</t>
        </is>
      </c>
      <c r="F36" t="inlineStr">
        <is>
          <t>C14</t>
        </is>
      </c>
      <c r="G36" t="n">
        <v>0</v>
      </c>
      <c r="H36" t="n">
        <v>1030</v>
      </c>
      <c r="I36" t="inlineStr"/>
      <c r="J36" t="n">
        <v>1272.16</v>
      </c>
      <c r="K36" t="n">
        <v>0</v>
      </c>
      <c r="L36" t="inlineStr">
        <is>
          <t>road</t>
        </is>
      </c>
      <c r="M36" t="n">
        <v>942.1</v>
      </c>
      <c r="N36" t="inlineStr">
        <is>
          <t>YES</t>
        </is>
      </c>
    </row>
    <row r="37">
      <c r="A37" t="inlineStr">
        <is>
          <t>A277</t>
        </is>
      </c>
      <c r="B37" t="n">
        <v>0</v>
      </c>
      <c r="C37" t="n">
        <v>0</v>
      </c>
      <c r="D37" t="inlineStr">
        <is>
          <t>unused</t>
        </is>
      </c>
      <c r="E37" t="inlineStr">
        <is>
          <t>W10</t>
        </is>
      </c>
      <c r="F37" t="inlineStr">
        <is>
          <t>C17</t>
        </is>
      </c>
      <c r="G37" t="n">
        <v>0</v>
      </c>
      <c r="H37" t="n">
        <v>711</v>
      </c>
      <c r="I37" t="inlineStr"/>
      <c r="J37" t="n">
        <v>1944.89</v>
      </c>
      <c r="K37" t="n">
        <v>0</v>
      </c>
      <c r="L37" t="inlineStr">
        <is>
          <t>sea</t>
        </is>
      </c>
      <c r="M37" t="n">
        <v>7175.4</v>
      </c>
      <c r="N37" t="inlineStr">
        <is>
          <t>YES</t>
        </is>
      </c>
    </row>
    <row r="38">
      <c r="A38" t="inlineStr">
        <is>
          <t>A279</t>
        </is>
      </c>
      <c r="B38" t="n">
        <v>0</v>
      </c>
      <c r="C38" t="n">
        <v>0</v>
      </c>
      <c r="D38" t="inlineStr">
        <is>
          <t>unused</t>
        </is>
      </c>
      <c r="E38" t="inlineStr">
        <is>
          <t>W10</t>
        </is>
      </c>
      <c r="F38" t="inlineStr">
        <is>
          <t>C18</t>
        </is>
      </c>
      <c r="G38" t="n">
        <v>0</v>
      </c>
      <c r="H38" t="n">
        <v>439</v>
      </c>
      <c r="I38" t="inlineStr"/>
      <c r="J38" t="n">
        <v>1438.98</v>
      </c>
      <c r="K38" t="n">
        <v>0</v>
      </c>
      <c r="L38" t="inlineStr">
        <is>
          <t>sea</t>
        </is>
      </c>
      <c r="M38" t="n">
        <v>8087.2</v>
      </c>
      <c r="N38" t="inlineStr">
        <is>
          <t>YES</t>
        </is>
      </c>
    </row>
    <row r="39">
      <c r="A39" t="inlineStr">
        <is>
          <t>A282</t>
        </is>
      </c>
      <c r="B39" t="n">
        <v>0</v>
      </c>
      <c r="C39" t="n">
        <v>0</v>
      </c>
      <c r="D39" t="inlineStr">
        <is>
          <t>unused</t>
        </is>
      </c>
      <c r="E39" t="inlineStr">
        <is>
          <t>W11</t>
        </is>
      </c>
      <c r="F39" t="inlineStr">
        <is>
          <t>C19</t>
        </is>
      </c>
      <c r="G39" t="n">
        <v>0</v>
      </c>
      <c r="H39" t="n">
        <v>923</v>
      </c>
      <c r="I39" t="inlineStr"/>
      <c r="J39" t="n">
        <v>1799.67</v>
      </c>
      <c r="K39" t="n">
        <v>0</v>
      </c>
      <c r="L39" t="inlineStr">
        <is>
          <t>sea</t>
        </is>
      </c>
      <c r="M39" t="n">
        <v>7938.6</v>
      </c>
      <c r="N39" t="inlineStr">
        <is>
          <t>YES</t>
        </is>
      </c>
    </row>
    <row r="40">
      <c r="A40" t="inlineStr">
        <is>
          <t>A292</t>
        </is>
      </c>
      <c r="B40" t="n">
        <v>0</v>
      </c>
      <c r="C40" t="n">
        <v>0</v>
      </c>
      <c r="D40" t="inlineStr">
        <is>
          <t>unused</t>
        </is>
      </c>
      <c r="E40" t="inlineStr">
        <is>
          <t>W7</t>
        </is>
      </c>
      <c r="F40" t="inlineStr">
        <is>
          <t>C23</t>
        </is>
      </c>
      <c r="G40" t="n">
        <v>0</v>
      </c>
      <c r="H40" t="n">
        <v>1198</v>
      </c>
      <c r="I40" t="inlineStr"/>
      <c r="J40" t="n">
        <v>1993.53</v>
      </c>
      <c r="K40" t="n">
        <v>0</v>
      </c>
      <c r="L40" t="inlineStr">
        <is>
          <t>road</t>
        </is>
      </c>
      <c r="M40" t="n">
        <v>396.3</v>
      </c>
      <c r="N40" t="inlineStr">
        <is>
          <t>YES</t>
        </is>
      </c>
    </row>
    <row r="41">
      <c r="A41" t="inlineStr">
        <is>
          <t>A296</t>
        </is>
      </c>
      <c r="B41" t="n">
        <v>0</v>
      </c>
      <c r="C41" t="n">
        <v>0</v>
      </c>
      <c r="D41" t="inlineStr">
        <is>
          <t>unused</t>
        </is>
      </c>
      <c r="E41" t="inlineStr">
        <is>
          <t>W15</t>
        </is>
      </c>
      <c r="F41" t="inlineStr">
        <is>
          <t>C24</t>
        </is>
      </c>
      <c r="G41" t="n">
        <v>0</v>
      </c>
      <c r="H41" t="n">
        <v>699</v>
      </c>
      <c r="I41" t="inlineStr"/>
      <c r="J41" t="n">
        <v>1888</v>
      </c>
      <c r="K41" t="n">
        <v>0</v>
      </c>
      <c r="L41" t="inlineStr">
        <is>
          <t>sea</t>
        </is>
      </c>
      <c r="M41" t="n">
        <v>6405.7</v>
      </c>
      <c r="N41" t="inlineStr">
        <is>
          <t>YES</t>
        </is>
      </c>
    </row>
    <row r="42">
      <c r="A42" t="inlineStr">
        <is>
          <t>A301</t>
        </is>
      </c>
      <c r="B42" t="n">
        <v>0</v>
      </c>
      <c r="C42" t="n">
        <v>0</v>
      </c>
      <c r="D42" t="inlineStr">
        <is>
          <t>unused</t>
        </is>
      </c>
      <c r="E42" t="inlineStr">
        <is>
          <t>W15</t>
        </is>
      </c>
      <c r="F42" t="inlineStr">
        <is>
          <t>C25</t>
        </is>
      </c>
      <c r="G42" t="n">
        <v>0</v>
      </c>
      <c r="H42" t="n">
        <v>637</v>
      </c>
      <c r="I42" t="inlineStr"/>
      <c r="J42" t="n">
        <v>791.14</v>
      </c>
      <c r="K42" t="n">
        <v>0</v>
      </c>
      <c r="L42" t="inlineStr">
        <is>
          <t>sea</t>
        </is>
      </c>
      <c r="M42" t="n">
        <v>5788.7</v>
      </c>
      <c r="N42" t="inlineStr">
        <is>
          <t>YES</t>
        </is>
      </c>
    </row>
    <row r="43">
      <c r="A43" t="inlineStr">
        <is>
          <t>A302</t>
        </is>
      </c>
      <c r="B43" t="n">
        <v>0</v>
      </c>
      <c r="C43" t="n">
        <v>0</v>
      </c>
      <c r="D43" t="inlineStr">
        <is>
          <t>unused</t>
        </is>
      </c>
      <c r="E43" t="inlineStr">
        <is>
          <t>W10</t>
        </is>
      </c>
      <c r="F43" t="inlineStr">
        <is>
          <t>C25</t>
        </is>
      </c>
      <c r="G43" t="n">
        <v>0</v>
      </c>
      <c r="H43" t="n">
        <v>778</v>
      </c>
      <c r="I43" t="inlineStr"/>
      <c r="J43" t="n">
        <v>1631.86</v>
      </c>
      <c r="K43" t="n">
        <v>0</v>
      </c>
      <c r="L43" t="inlineStr">
        <is>
          <t>sea</t>
        </is>
      </c>
      <c r="M43" t="n">
        <v>11484.9</v>
      </c>
      <c r="N43" t="inlineStr">
        <is>
          <t>YES</t>
        </is>
      </c>
    </row>
    <row r="44">
      <c r="A44" t="inlineStr">
        <is>
          <t>A304</t>
        </is>
      </c>
      <c r="B44" t="n">
        <v>0</v>
      </c>
      <c r="C44" t="n">
        <v>0</v>
      </c>
      <c r="D44" t="inlineStr">
        <is>
          <t>unused</t>
        </is>
      </c>
      <c r="E44" t="inlineStr">
        <is>
          <t>W6</t>
        </is>
      </c>
      <c r="F44" t="inlineStr">
        <is>
          <t>C26</t>
        </is>
      </c>
      <c r="G44" t="n">
        <v>0</v>
      </c>
      <c r="H44" t="n">
        <v>453</v>
      </c>
      <c r="I44" t="inlineStr"/>
      <c r="J44" t="n">
        <v>657.9400000000001</v>
      </c>
      <c r="K44" t="n">
        <v>0</v>
      </c>
      <c r="L44" t="inlineStr">
        <is>
          <t>road</t>
        </is>
      </c>
      <c r="M44" t="n">
        <v>1058.9</v>
      </c>
      <c r="N44" t="inlineStr">
        <is>
          <t>YES</t>
        </is>
      </c>
    </row>
    <row r="45">
      <c r="A45" t="inlineStr">
        <is>
          <t>A311</t>
        </is>
      </c>
      <c r="B45" t="n">
        <v>0</v>
      </c>
      <c r="C45" t="n">
        <v>0</v>
      </c>
      <c r="D45" t="inlineStr">
        <is>
          <t>unused</t>
        </is>
      </c>
      <c r="E45" t="inlineStr">
        <is>
          <t>W7</t>
        </is>
      </c>
      <c r="F45" t="inlineStr">
        <is>
          <t>C28</t>
        </is>
      </c>
      <c r="G45" t="n">
        <v>0</v>
      </c>
      <c r="H45" t="n">
        <v>530</v>
      </c>
      <c r="I45" t="inlineStr"/>
      <c r="J45" t="n">
        <v>518.79</v>
      </c>
      <c r="K45" t="n">
        <v>0</v>
      </c>
      <c r="L45" t="inlineStr">
        <is>
          <t>sea</t>
        </is>
      </c>
      <c r="M45" t="n">
        <v>6723.4</v>
      </c>
      <c r="N45" t="inlineStr">
        <is>
          <t>YES</t>
        </is>
      </c>
    </row>
    <row r="46">
      <c r="A46" t="inlineStr">
        <is>
          <t>A313</t>
        </is>
      </c>
      <c r="B46" t="n">
        <v>0</v>
      </c>
      <c r="C46" t="n">
        <v>0</v>
      </c>
      <c r="D46" t="inlineStr">
        <is>
          <t>unused</t>
        </is>
      </c>
      <c r="E46" t="inlineStr">
        <is>
          <t>W5</t>
        </is>
      </c>
      <c r="F46" t="inlineStr">
        <is>
          <t>C29</t>
        </is>
      </c>
      <c r="G46" t="n">
        <v>0</v>
      </c>
      <c r="H46" t="n">
        <v>1111</v>
      </c>
      <c r="I46" t="inlineStr"/>
      <c r="J46" t="n">
        <v>1855.22</v>
      </c>
      <c r="K46" t="n">
        <v>0</v>
      </c>
      <c r="L46" t="inlineStr">
        <is>
          <t>road</t>
        </is>
      </c>
      <c r="M46" t="n">
        <v>290.6</v>
      </c>
      <c r="N46" t="inlineStr">
        <is>
          <t>YES</t>
        </is>
      </c>
    </row>
    <row r="47">
      <c r="A47" t="inlineStr">
        <is>
          <t>A314</t>
        </is>
      </c>
      <c r="B47" t="n">
        <v>0</v>
      </c>
      <c r="C47" t="n">
        <v>0</v>
      </c>
      <c r="D47" t="inlineStr">
        <is>
          <t>unused</t>
        </is>
      </c>
      <c r="E47" t="inlineStr">
        <is>
          <t>W4</t>
        </is>
      </c>
      <c r="F47" t="inlineStr">
        <is>
          <t>C29</t>
        </is>
      </c>
      <c r="G47" t="n">
        <v>0</v>
      </c>
      <c r="H47" t="n">
        <v>442</v>
      </c>
      <c r="I47" t="inlineStr"/>
      <c r="J47" t="n">
        <v>1383.46</v>
      </c>
      <c r="K47" t="n">
        <v>0</v>
      </c>
      <c r="L47" t="inlineStr">
        <is>
          <t>road</t>
        </is>
      </c>
      <c r="M47" t="n">
        <v>845.4</v>
      </c>
      <c r="N47" t="inlineStr">
        <is>
          <t>YES</t>
        </is>
      </c>
    </row>
    <row r="48">
      <c r="A48" t="inlineStr">
        <is>
          <t>A317</t>
        </is>
      </c>
      <c r="B48" t="n">
        <v>0</v>
      </c>
      <c r="C48" t="n">
        <v>0</v>
      </c>
      <c r="D48" t="inlineStr">
        <is>
          <t>unused</t>
        </is>
      </c>
      <c r="E48" t="inlineStr">
        <is>
          <t>W4</t>
        </is>
      </c>
      <c r="F48" t="inlineStr">
        <is>
          <t>C30</t>
        </is>
      </c>
      <c r="G48" t="n">
        <v>0</v>
      </c>
      <c r="H48" t="n">
        <v>682</v>
      </c>
      <c r="I48" t="inlineStr"/>
      <c r="J48" t="n">
        <v>1000.2</v>
      </c>
      <c r="K48" t="n">
        <v>0</v>
      </c>
      <c r="L48" t="inlineStr">
        <is>
          <t>road</t>
        </is>
      </c>
      <c r="M48" t="n">
        <v>1654</v>
      </c>
      <c r="N4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2026-05-14T10:19:50Z</dcterms:created>
  <dcterms:modified xmlns:dcterms="http://purl.org/dc/terms/" xmlns:xsi="http://www.w3.org/2001/XMLSchema-instance" xsi:type="dcterms:W3CDTF">2026-05-14T10:19:50Z</dcterms:modified>
</cp:coreProperties>
</file>