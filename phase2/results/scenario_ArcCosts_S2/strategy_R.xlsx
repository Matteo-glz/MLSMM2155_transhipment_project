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S2</t>
        </is>
      </c>
    </row>
    <row r="4">
      <c r="A4" t="inlineStr">
        <is>
          <t>Strategy</t>
        </is>
      </c>
      <c r="B4" t="inlineStr">
        <is>
          <t>R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0.001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4454800.57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4413115.62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4413115.62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4413115.62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-0</v>
      </c>
    </row>
    <row r="31">
      <c r="A31" t="inlineStr">
        <is>
          <t>DeltaZ (%)</t>
        </is>
      </c>
      <c r="B31" t="n">
        <v>-0</v>
      </c>
    </row>
    <row r="32">
      <c r="A32" t="inlineStr">
        <is>
          <t>Baseline variable cost (imputed) ($)</t>
        </is>
      </c>
      <c r="B32" t="n">
        <v>4413115.62</v>
      </c>
    </row>
    <row r="33">
      <c r="A33" t="inlineStr">
        <is>
          <t>Variable cost delta (R only) ($)</t>
        </is>
      </c>
      <c r="B33" t="n">
        <v>-0</v>
      </c>
    </row>
    <row r="34">
      <c r="A34" t="inlineStr"/>
      <c r="B34" t="inlineStr"/>
    </row>
    <row r="35">
      <c r="A35">
        <f>== Network changes vs Baseline ===</f>
        <v/>
      </c>
      <c r="B35" t="inlineStr"/>
    </row>
    <row r="36">
      <c r="A36" t="inlineStr">
        <is>
          <t>Removed Nodes</t>
        </is>
      </c>
      <c r="B36" t="inlineStr">
        <is>
          <t>none</t>
        </is>
      </c>
    </row>
    <row r="37">
      <c r="A37" t="inlineStr">
        <is>
          <t>Removed Arcs</t>
        </is>
      </c>
      <c r="B37" t="n">
        <v>8</v>
      </c>
    </row>
    <row r="38">
      <c r="A38" t="inlineStr">
        <is>
          <t>Stranded Suppliers</t>
        </is>
      </c>
      <c r="B38" t="inlineStr">
        <is>
          <t>none</t>
        </is>
      </c>
    </row>
    <row r="39">
      <c r="A39" t="inlineStr"/>
      <c r="B39" t="inlineStr"/>
    </row>
    <row r="40">
      <c r="A40" t="inlineStr">
        <is>
          <t>Warehouses Open (baseline)</t>
        </is>
      </c>
      <c r="B40" t="n">
        <v>14</v>
      </c>
    </row>
    <row r="41">
      <c r="A41" t="inlineStr">
        <is>
          <t>Warehouses Open (scenario)</t>
        </is>
      </c>
      <c r="B41" t="n">
        <v>14</v>
      </c>
    </row>
    <row r="42">
      <c r="A42" t="inlineStr">
        <is>
          <t xml:space="preserve">  WH kept</t>
        </is>
      </c>
      <c r="B42" t="inlineStr">
        <is>
          <t>14: ['W1', 'W10', 'W11', 'W12', 'W13', 'W14', 'W15', 'W2', 'W3', 'W4', 'W5', 'W6', 'W7', 'W8']</t>
        </is>
      </c>
    </row>
    <row r="43">
      <c r="A43" t="inlineStr">
        <is>
          <t xml:space="preserve">  WH newly opened</t>
        </is>
      </c>
      <c r="B43" t="inlineStr">
        <is>
          <t>0</t>
        </is>
      </c>
    </row>
    <row r="44">
      <c r="A44" t="inlineStr">
        <is>
          <t xml:space="preserve">  WH closed</t>
        </is>
      </c>
      <c r="B44" t="inlineStr">
        <is>
          <t>0</t>
        </is>
      </c>
    </row>
    <row r="45">
      <c r="A45" t="inlineStr">
        <is>
          <t xml:space="preserve">  New WH opening cost ($)</t>
        </is>
      </c>
      <c r="B45" t="n">
        <v>0</v>
      </c>
    </row>
    <row r="46">
      <c r="A46" t="inlineStr"/>
      <c r="B46" t="inlineStr"/>
    </row>
    <row r="47">
      <c r="A47" t="inlineStr">
        <is>
          <t>Optional arcs active (baseline)</t>
        </is>
      </c>
      <c r="B47" t="n">
        <v>11</v>
      </c>
    </row>
    <row r="48">
      <c r="A48" t="inlineStr">
        <is>
          <t>Optional arcs active (scenario)</t>
        </is>
      </c>
      <c r="B48" t="n">
        <v>11</v>
      </c>
    </row>
    <row r="49">
      <c r="A49" t="inlineStr">
        <is>
          <t xml:space="preserve">  Arcs kept</t>
        </is>
      </c>
      <c r="B49" t="n">
        <v>11</v>
      </c>
    </row>
    <row r="50">
      <c r="A50" t="inlineStr">
        <is>
          <t xml:space="preserve">  Arcs newly activated</t>
        </is>
      </c>
      <c r="B50" t="n">
        <v>0</v>
      </c>
    </row>
    <row r="51">
      <c r="A51" t="inlineStr">
        <is>
          <t xml:space="preserve">  Arcs deactivated</t>
        </is>
      </c>
      <c r="B51" t="n">
        <v>0</v>
      </c>
    </row>
    <row r="52">
      <c r="A52" t="inlineStr">
        <is>
          <t xml:space="preserve">  New arc activation cost ($)</t>
        </is>
      </c>
      <c r="B52" t="n">
        <v>0</v>
      </c>
    </row>
    <row r="53">
      <c r="A53" t="inlineStr"/>
      <c r="B53" t="inlineStr"/>
    </row>
    <row r="54">
      <c r="A54">
        <f>== Demand fulfilment ===</f>
        <v/>
      </c>
      <c r="B54" t="inlineStr"/>
    </row>
    <row r="55">
      <c r="A55" t="inlineStr">
        <is>
          <t>Demand Met - A_Fertilizers</t>
        </is>
      </c>
      <c r="B55" t="inlineStr">
        <is>
          <t>2082 / 2082</t>
        </is>
      </c>
    </row>
    <row r="56">
      <c r="A56" t="inlineStr">
        <is>
          <t>Demand Met - B_Semiconductors</t>
        </is>
      </c>
      <c r="B56" t="inlineStr">
        <is>
          <t>2222 / 2222</t>
        </is>
      </c>
    </row>
    <row r="57">
      <c r="A57" t="inlineStr">
        <is>
          <t>Demand Met - C_BatteryComponents</t>
        </is>
      </c>
      <c r="B57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0</v>
      </c>
      <c r="K7" t="n">
        <v>4685.85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260.6464</v>
      </c>
      <c r="J11" t="n">
        <v>27.9264</v>
      </c>
      <c r="K11" t="n">
        <v>57602.85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257.488</v>
      </c>
      <c r="J12" t="n">
        <v>27.588</v>
      </c>
      <c r="K12" t="n">
        <v>37335.76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0</v>
      </c>
      <c r="K19" t="n">
        <v>2851.16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0</v>
      </c>
      <c r="K20" t="n">
        <v>1838.07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0</v>
      </c>
      <c r="K21" t="n">
        <v>3961.98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0</v>
      </c>
      <c r="K22" t="n">
        <v>8800.280000000001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0</v>
      </c>
      <c r="K23" t="n">
        <v>5475.26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0</v>
      </c>
      <c r="K24" t="n">
        <v>2514.07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0</v>
      </c>
      <c r="K25" t="n">
        <v>5973.6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0</v>
      </c>
      <c r="K26" t="n">
        <v>1013.95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0</v>
      </c>
      <c r="K27" t="n">
        <v>8848.790000000001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0</v>
      </c>
      <c r="K28" t="n">
        <v>7336.52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0</v>
      </c>
      <c r="K29" t="n">
        <v>2264.93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0</v>
      </c>
      <c r="K30" t="n">
        <v>1425.6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0</v>
      </c>
      <c r="K31" t="n">
        <v>6946.57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25.2263</v>
      </c>
      <c r="K41" t="n">
        <v>19346.28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0</v>
      </c>
      <c r="K44" t="n">
        <v>151.76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0</v>
      </c>
      <c r="K45" t="n">
        <v>450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0</v>
      </c>
      <c r="K50" t="n">
        <v>7839.67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394.1822</v>
      </c>
      <c r="J5" t="n">
        <v>22.3122</v>
      </c>
      <c r="K5" t="n">
        <v>158855.43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0</v>
      </c>
      <c r="K6" t="n">
        <v>6719.25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546.1904</v>
      </c>
      <c r="J7" t="n">
        <v>58.5204</v>
      </c>
      <c r="K7" t="n">
        <v>52980.47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782.3502</v>
      </c>
      <c r="J8" t="n">
        <v>77.53019999999999</v>
      </c>
      <c r="K8" t="n">
        <v>39899.86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473.0674</v>
      </c>
      <c r="J9" t="n">
        <v>26.7774</v>
      </c>
      <c r="K9" t="n">
        <v>50145.14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330.8048</v>
      </c>
      <c r="J10" t="n">
        <v>18.7248</v>
      </c>
      <c r="K10" t="n">
        <v>70461.42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349</v>
      </c>
      <c r="F11" t="n">
        <v>549</v>
      </c>
      <c r="G11" t="n">
        <v>63.6</v>
      </c>
      <c r="H11" t="n">
        <v>154.5</v>
      </c>
      <c r="I11" t="n">
        <v>162.225</v>
      </c>
      <c r="J11" t="n">
        <v>7.725</v>
      </c>
      <c r="K11" t="n">
        <v>56616.53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373</v>
      </c>
      <c r="F12" t="n">
        <v>544</v>
      </c>
      <c r="G12" t="n">
        <v>68.59999999999999</v>
      </c>
      <c r="H12" t="n">
        <v>218.67</v>
      </c>
      <c r="I12" t="n">
        <v>229.6035</v>
      </c>
      <c r="J12" t="n">
        <v>10.9335</v>
      </c>
      <c r="K12" t="n">
        <v>85642.11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270.25</v>
      </c>
      <c r="J13" t="n">
        <v>0</v>
      </c>
      <c r="K13" t="n">
        <v>126206.75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214.81</v>
      </c>
      <c r="J14" t="n">
        <v>0</v>
      </c>
      <c r="K14" t="n">
        <v>10525.69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391.05</v>
      </c>
      <c r="J15" t="n">
        <v>0</v>
      </c>
      <c r="K15" t="n">
        <v>290550.15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400.12</v>
      </c>
      <c r="J16" t="n">
        <v>0</v>
      </c>
      <c r="K16" t="n">
        <v>68020.39999999999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195.57</v>
      </c>
      <c r="J17" t="n">
        <v>0</v>
      </c>
      <c r="K17" t="n">
        <v>64538.1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235.89</v>
      </c>
      <c r="J18" t="n">
        <v>0</v>
      </c>
      <c r="K18" t="n">
        <v>109217.07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958.626</v>
      </c>
      <c r="J19" t="n">
        <v>117.726</v>
      </c>
      <c r="K19" t="n">
        <v>513823.54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108.5</v>
      </c>
      <c r="J20" t="n">
        <v>0</v>
      </c>
      <c r="K20" t="n">
        <v>10958.5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55.5</v>
      </c>
      <c r="J21" t="n">
        <v>0</v>
      </c>
      <c r="K21" t="n">
        <v>24142.5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53.02</v>
      </c>
      <c r="J22" t="n">
        <v>0</v>
      </c>
      <c r="K22" t="n">
        <v>3976.5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1071.5088</v>
      </c>
      <c r="J23" t="n">
        <v>131.5888</v>
      </c>
      <c r="K23" t="n">
        <v>106079.37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254.79</v>
      </c>
      <c r="J24" t="n">
        <v>0</v>
      </c>
      <c r="K24" t="n">
        <v>23950.26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37.45</v>
      </c>
      <c r="J25" t="n">
        <v>0</v>
      </c>
      <c r="K25" t="n">
        <v>3632.65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105</v>
      </c>
      <c r="J26" t="n">
        <v>0</v>
      </c>
      <c r="K26" t="n">
        <v>8190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35.49</v>
      </c>
      <c r="J27" t="n">
        <v>0</v>
      </c>
      <c r="K27" t="n">
        <v>3584.49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256.25</v>
      </c>
      <c r="J28" t="n">
        <v>0</v>
      </c>
      <c r="K28" t="n">
        <v>26906.25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270.02</v>
      </c>
      <c r="J29" t="n">
        <v>0</v>
      </c>
      <c r="K29" t="n">
        <v>22411.66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34.29</v>
      </c>
      <c r="J30" t="n">
        <v>0</v>
      </c>
      <c r="K30" t="n">
        <v>2948.94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52.57</v>
      </c>
      <c r="J31" t="n">
        <v>0</v>
      </c>
      <c r="K31" t="n">
        <v>3522.19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109.93</v>
      </c>
      <c r="J32" t="n">
        <v>0</v>
      </c>
      <c r="K32" t="n">
        <v>8464.610000000001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5.88</v>
      </c>
      <c r="J33" t="n">
        <v>0</v>
      </c>
      <c r="K33" t="n">
        <v>493.92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11.21</v>
      </c>
      <c r="J34" t="n">
        <v>0</v>
      </c>
      <c r="K34" t="n">
        <v>952.85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516.318</v>
      </c>
      <c r="J35" t="n">
        <v>46.938</v>
      </c>
      <c r="K35" t="n">
        <v>37174.9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77.47</v>
      </c>
      <c r="J36" t="n">
        <v>0</v>
      </c>
      <c r="K36" t="n">
        <v>5345.43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50.92</v>
      </c>
      <c r="J37" t="n">
        <v>0</v>
      </c>
      <c r="K37" t="n">
        <v>4124.52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192.32</v>
      </c>
      <c r="J38" t="n">
        <v>0</v>
      </c>
      <c r="K38" t="n">
        <v>1153.92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286.08</v>
      </c>
      <c r="J39" t="n">
        <v>0</v>
      </c>
      <c r="K39" t="n">
        <v>2288.64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250.24</v>
      </c>
      <c r="J40" t="n">
        <v>0</v>
      </c>
      <c r="K40" t="n">
        <v>3503.36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221.96</v>
      </c>
      <c r="J41" t="n">
        <v>0</v>
      </c>
      <c r="K41" t="n">
        <v>5105.08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551.8920000000001</v>
      </c>
      <c r="J42" t="n">
        <v>54.692</v>
      </c>
      <c r="K42" t="n">
        <v>13797.3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0.11</v>
      </c>
      <c r="J43" t="n">
        <v>0</v>
      </c>
      <c r="K43" t="n">
        <v>15.29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13.08</v>
      </c>
      <c r="J45" t="n">
        <v>0</v>
      </c>
      <c r="K45" t="n">
        <v>1281.84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184.25</v>
      </c>
      <c r="J46" t="n">
        <v>0</v>
      </c>
      <c r="K46" t="n">
        <v>26163.5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80.36</v>
      </c>
      <c r="J47" t="n">
        <v>0</v>
      </c>
      <c r="K47" t="n">
        <v>2491.16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265.56</v>
      </c>
      <c r="J48" t="n">
        <v>0</v>
      </c>
      <c r="K48" t="n">
        <v>23634.84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14.3892</v>
      </c>
      <c r="K5" t="n">
        <v>20336.74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0</v>
      </c>
      <c r="K6" t="n">
        <v>1331.2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15.3318</v>
      </c>
      <c r="K7" t="n">
        <v>38733.24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282.1296</v>
      </c>
      <c r="J8" t="n">
        <v>15.9696</v>
      </c>
      <c r="K8" t="n">
        <v>21723.98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100.7895</v>
      </c>
      <c r="J10" t="n">
        <v>4.7995</v>
      </c>
      <c r="K10" t="n">
        <v>5140.26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122.57</v>
      </c>
      <c r="J11" t="n">
        <v>0</v>
      </c>
      <c r="K11" t="n">
        <v>4657.66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109.91</v>
      </c>
      <c r="J14" t="n">
        <v>0</v>
      </c>
      <c r="K14" t="n">
        <v>15936.95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143.62</v>
      </c>
      <c r="J15" t="n">
        <v>0</v>
      </c>
      <c r="K15" t="n">
        <v>7037.38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14.138</v>
      </c>
      <c r="K17" t="n">
        <v>55138.2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380.0992</v>
      </c>
      <c r="J18" t="n">
        <v>14.6192</v>
      </c>
      <c r="K18" t="n">
        <v>17104.46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389.012</v>
      </c>
      <c r="J19" t="n">
        <v>14.962</v>
      </c>
      <c r="K19" t="n">
        <v>31120.96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123.74</v>
      </c>
      <c r="J20" t="n">
        <v>0</v>
      </c>
      <c r="K20" t="n">
        <v>18437.26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313.2416</v>
      </c>
      <c r="J21" t="n">
        <v>33.5616</v>
      </c>
      <c r="K21" t="n">
        <v>1879.45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50.48</v>
      </c>
      <c r="J22" t="n">
        <v>0</v>
      </c>
      <c r="K22" t="n">
        <v>3028.8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644.1684</v>
      </c>
      <c r="J23" t="n">
        <v>79.1084</v>
      </c>
      <c r="K23" t="n">
        <v>48956.8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133.46</v>
      </c>
      <c r="J24" t="n">
        <v>0</v>
      </c>
      <c r="K24" t="n">
        <v>10676.8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35.64</v>
      </c>
      <c r="J25" t="n">
        <v>0</v>
      </c>
      <c r="K25" t="n">
        <v>1817.64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96.53</v>
      </c>
      <c r="J26" t="n">
        <v>0</v>
      </c>
      <c r="K26" t="n">
        <v>8687.700000000001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0</v>
      </c>
      <c r="K27" t="n">
        <v>1663.74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133.66</v>
      </c>
      <c r="J28" t="n">
        <v>0</v>
      </c>
      <c r="K28" t="n">
        <v>9757.18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0</v>
      </c>
      <c r="K29" t="n">
        <v>10930.4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0</v>
      </c>
      <c r="K30" t="n">
        <v>2022.24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0</v>
      </c>
      <c r="K31" t="n">
        <v>3788.4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0</v>
      </c>
      <c r="K32" t="n">
        <v>6816.6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5.2</v>
      </c>
      <c r="J33" t="n">
        <v>0</v>
      </c>
      <c r="K33" t="n">
        <v>384.8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10.33</v>
      </c>
      <c r="J34" t="n">
        <v>0</v>
      </c>
      <c r="K34" t="n">
        <v>857.39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0</v>
      </c>
      <c r="K35" t="n">
        <v>3620.88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0</v>
      </c>
      <c r="K36" t="n">
        <v>4036.74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0</v>
      </c>
      <c r="K37" t="n">
        <v>3088.5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0</v>
      </c>
      <c r="K38" t="n">
        <v>3330.32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0</v>
      </c>
      <c r="K39" t="n">
        <v>8136.32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0</v>
      </c>
      <c r="K40" t="n">
        <v>7120.8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0</v>
      </c>
      <c r="K41" t="n">
        <v>3924.18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0</v>
      </c>
      <c r="K42" t="n">
        <v>9512.82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0</v>
      </c>
      <c r="K43" t="n">
        <v>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0</v>
      </c>
      <c r="K45" t="n">
        <v>1169.46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0</v>
      </c>
      <c r="K46" t="n">
        <v>4855.4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0</v>
      </c>
      <c r="K47" t="n">
        <v>9703.469999999999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100.59</v>
      </c>
      <c r="J48" t="n">
        <v>0</v>
      </c>
      <c r="K48" t="n">
        <v>3118.29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148.7</v>
      </c>
      <c r="J49" t="n">
        <v>0</v>
      </c>
      <c r="K49" t="n">
        <v>2081.8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829</v>
      </c>
      <c r="I2" t="n">
        <v>91.3</v>
      </c>
      <c r="J2" t="inlineStr">
        <is>
          <t>YES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YES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860</v>
      </c>
      <c r="I4" t="n">
        <v>45</v>
      </c>
      <c r="J4" t="inlineStr">
        <is>
          <t>YES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293</v>
      </c>
      <c r="I5" t="n">
        <v>26.6</v>
      </c>
      <c r="J5" t="inlineStr">
        <is>
          <t>YES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YES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YES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642</v>
      </c>
      <c r="I8" t="n">
        <v>76.5</v>
      </c>
      <c r="J8" t="inlineStr">
        <is>
          <t>YES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330</v>
      </c>
      <c r="I9" t="n">
        <v>13.8</v>
      </c>
      <c r="J9" t="inlineStr">
        <is>
          <t>YES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648</v>
      </c>
      <c r="I10" t="n">
        <v>27.1</v>
      </c>
      <c r="J10" t="inlineStr">
        <is>
          <t>YES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726</v>
      </c>
      <c r="I11" t="n">
        <v>48.6</v>
      </c>
      <c r="J11" t="inlineStr">
        <is>
          <t>YES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87</v>
      </c>
      <c r="I12" t="n">
        <v>4.1</v>
      </c>
      <c r="J12" t="inlineStr">
        <is>
          <t>YES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1073</v>
      </c>
      <c r="I13" t="n">
        <v>56.5</v>
      </c>
      <c r="J13" t="inlineStr">
        <is>
          <t>YES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283</v>
      </c>
      <c r="I14" t="n">
        <v>11.4</v>
      </c>
      <c r="J14" t="inlineStr">
        <is>
          <t>YES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YES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YES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YES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YES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YES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YES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YES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YES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YES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YES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YES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YES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YES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YES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YES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YES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YES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YES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YES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YES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YES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YES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YES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YES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YES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YES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YES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YES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YES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YES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YES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YES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YES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YES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YES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YES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YES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YES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YES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YES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YES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YES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YES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YES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YES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YES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YES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2026-05-14T10:19:52Z</dcterms:created>
  <dcterms:modified xmlns:dcterms="http://purl.org/dc/terms/" xmlns:xsi="http://www.w3.org/2001/XMLSchema-instance" xsi:type="dcterms:W3CDTF">2026-05-14T10:19:52Z</dcterms:modified>
</cp:coreProperties>
</file>